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_FL\project_1\"/>
    </mc:Choice>
  </mc:AlternateContent>
  <xr:revisionPtr revIDLastSave="0" documentId="8_{07A1918E-0944-405F-AE5D-E6683F99529D}" xr6:coauthVersionLast="47" xr6:coauthVersionMax="47" xr10:uidLastSave="{00000000-0000-0000-0000-000000000000}"/>
  <bookViews>
    <workbookView xWindow="-108" yWindow="-108" windowWidth="23256" windowHeight="12456" xr2:uid="{E781483B-C5D5-4272-85BA-248FABE54641}"/>
  </bookViews>
  <sheets>
    <sheet name="Channel summary" sheetId="2" r:id="rId1"/>
    <sheet name="Campaign performance" sheetId="3" r:id="rId2"/>
    <sheet name="Revenue by Month" sheetId="4" r:id="rId3"/>
    <sheet name="ecommerce_marketing_messy" sheetId="1" r:id="rId4"/>
  </sheet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3" i="1"/>
  <c r="M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" i="1"/>
  <c r="I215" i="1"/>
  <c r="I265" i="1"/>
  <c r="J35" i="1"/>
  <c r="J14" i="1"/>
  <c r="J31" i="1"/>
  <c r="J193" i="1"/>
  <c r="J17" i="1"/>
  <c r="J127" i="1"/>
  <c r="J191" i="1"/>
  <c r="J128" i="1"/>
  <c r="J40" i="1"/>
  <c r="J90" i="1"/>
  <c r="J72" i="1"/>
  <c r="J99" i="1"/>
  <c r="J57" i="1"/>
  <c r="J22" i="1"/>
  <c r="J61" i="1"/>
  <c r="J260" i="1"/>
  <c r="J124" i="1"/>
  <c r="J67" i="1"/>
  <c r="J59" i="1"/>
  <c r="J226" i="1"/>
  <c r="J138" i="1"/>
  <c r="J46" i="1"/>
  <c r="J10" i="1"/>
  <c r="J163" i="1"/>
  <c r="J222" i="1"/>
  <c r="J181" i="1"/>
  <c r="J198" i="1"/>
  <c r="J152" i="1"/>
  <c r="J100" i="1"/>
  <c r="J250" i="1"/>
  <c r="J227" i="1"/>
  <c r="J212" i="1"/>
  <c r="J102" i="1"/>
  <c r="J7" i="1"/>
  <c r="J39" i="1"/>
  <c r="J143" i="1"/>
  <c r="J25" i="1"/>
  <c r="J217" i="1"/>
  <c r="J274" i="1"/>
  <c r="J139" i="1"/>
  <c r="J236" i="1"/>
  <c r="J146" i="1"/>
  <c r="J210" i="1"/>
  <c r="J42" i="1"/>
  <c r="J246" i="1"/>
  <c r="J153" i="1"/>
  <c r="J175" i="1"/>
  <c r="J68" i="1"/>
  <c r="J64" i="1"/>
  <c r="J130" i="1"/>
  <c r="J105" i="1"/>
  <c r="J239" i="1"/>
  <c r="J205" i="1"/>
  <c r="J249" i="1"/>
  <c r="J50" i="1"/>
  <c r="J5" i="1"/>
  <c r="J87" i="1"/>
  <c r="J78" i="1"/>
  <c r="J173" i="1"/>
  <c r="J66" i="1"/>
  <c r="J241" i="1"/>
  <c r="J106" i="1"/>
  <c r="J107" i="1"/>
  <c r="J121" i="1"/>
  <c r="J196" i="1"/>
  <c r="J96" i="1"/>
  <c r="J184" i="1"/>
  <c r="J221" i="1"/>
  <c r="J63" i="1"/>
  <c r="J219" i="1"/>
  <c r="J279" i="1"/>
  <c r="J267" i="1"/>
  <c r="J272" i="1"/>
  <c r="J244" i="1"/>
  <c r="J230" i="1"/>
  <c r="J275" i="1"/>
  <c r="J261" i="1"/>
  <c r="J110" i="1"/>
  <c r="J224" i="1"/>
  <c r="J36" i="1"/>
  <c r="J38" i="1"/>
  <c r="J83" i="1"/>
  <c r="J20" i="1"/>
  <c r="J82" i="1"/>
  <c r="J190" i="1"/>
  <c r="J264" i="1"/>
  <c r="J256" i="1"/>
  <c r="J194" i="1"/>
  <c r="J55" i="1"/>
  <c r="J98" i="1"/>
  <c r="J220" i="1"/>
  <c r="J74" i="1"/>
  <c r="J65" i="1"/>
  <c r="J242" i="1"/>
  <c r="J189" i="1"/>
  <c r="J108" i="1"/>
  <c r="J245" i="1"/>
  <c r="J185" i="1"/>
  <c r="J182" i="1"/>
  <c r="J33" i="1"/>
  <c r="J168" i="1"/>
  <c r="J276" i="1"/>
  <c r="J73" i="1"/>
  <c r="J126" i="1"/>
  <c r="J81" i="1"/>
  <c r="J238" i="1"/>
  <c r="J113" i="1"/>
  <c r="J15" i="1"/>
  <c r="J252" i="1"/>
  <c r="J9" i="1"/>
  <c r="J162" i="1"/>
  <c r="J88" i="1"/>
  <c r="J172" i="1"/>
  <c r="J4" i="1"/>
  <c r="J27" i="1"/>
  <c r="J240" i="1"/>
  <c r="J167" i="1"/>
  <c r="J161" i="1"/>
  <c r="J11" i="1"/>
  <c r="J116" i="1"/>
  <c r="J280" i="1"/>
  <c r="J187" i="1"/>
  <c r="J229" i="1"/>
  <c r="J117" i="1"/>
  <c r="J32" i="1"/>
  <c r="J52" i="1"/>
  <c r="J273" i="1"/>
  <c r="J170" i="1"/>
  <c r="J123" i="1"/>
  <c r="J2" i="1"/>
  <c r="J79" i="1"/>
  <c r="J97" i="1"/>
  <c r="J234" i="1"/>
  <c r="J197" i="1"/>
  <c r="J192" i="1"/>
  <c r="J133" i="1"/>
  <c r="J93" i="1"/>
  <c r="J112" i="1"/>
  <c r="J103" i="1"/>
  <c r="J164" i="1"/>
  <c r="J180" i="1"/>
  <c r="J70" i="1"/>
  <c r="J75" i="1"/>
  <c r="J278" i="1"/>
  <c r="J176" i="1"/>
  <c r="J178" i="1"/>
  <c r="J257" i="1"/>
  <c r="J136" i="1"/>
  <c r="J18" i="1"/>
  <c r="J23" i="1"/>
  <c r="J92" i="1"/>
  <c r="J104" i="1"/>
  <c r="J147" i="1"/>
  <c r="J271" i="1"/>
  <c r="J53" i="1"/>
  <c r="J76" i="1"/>
  <c r="J209" i="1"/>
  <c r="J211" i="1"/>
  <c r="J16" i="1"/>
  <c r="J131" i="1"/>
  <c r="J179" i="1"/>
  <c r="J47" i="1"/>
  <c r="J111" i="1"/>
  <c r="J255" i="1"/>
  <c r="J94" i="1"/>
  <c r="J122" i="1"/>
  <c r="J56" i="1"/>
  <c r="J235" i="1"/>
  <c r="J258" i="1"/>
  <c r="J89" i="1"/>
  <c r="J85" i="1"/>
  <c r="J12" i="1"/>
  <c r="J119" i="1"/>
  <c r="J232" i="1"/>
  <c r="J41" i="1"/>
  <c r="J148" i="1"/>
  <c r="J195" i="1"/>
  <c r="J69" i="1"/>
  <c r="J156" i="1"/>
  <c r="J58" i="1"/>
  <c r="J62" i="1"/>
  <c r="J202" i="1"/>
  <c r="J253" i="1"/>
  <c r="J45" i="1"/>
  <c r="J165" i="1"/>
  <c r="J149" i="1"/>
  <c r="J44" i="1"/>
  <c r="J171" i="1"/>
  <c r="J251" i="1"/>
  <c r="J125" i="1"/>
  <c r="J206" i="1"/>
  <c r="J91" i="1"/>
  <c r="J3" i="1"/>
  <c r="J80" i="1"/>
  <c r="J48" i="1"/>
  <c r="J129" i="1"/>
  <c r="J49" i="1"/>
  <c r="J154" i="1"/>
  <c r="J30" i="1"/>
  <c r="J228" i="1"/>
  <c r="J54" i="1"/>
  <c r="J247" i="1"/>
  <c r="J201" i="1"/>
  <c r="J269" i="1"/>
  <c r="J158" i="1"/>
  <c r="J243" i="1"/>
  <c r="J186" i="1"/>
  <c r="J145" i="1"/>
  <c r="J114" i="1"/>
  <c r="J277" i="1"/>
  <c r="J281" i="1"/>
  <c r="J115" i="1"/>
  <c r="J6" i="1"/>
  <c r="J169" i="1"/>
  <c r="J21" i="1"/>
  <c r="J77" i="1"/>
  <c r="J208" i="1"/>
  <c r="J225" i="1"/>
  <c r="J266" i="1"/>
  <c r="J216" i="1"/>
  <c r="J218" i="1"/>
  <c r="J262" i="1"/>
  <c r="J223" i="1"/>
  <c r="J166" i="1"/>
  <c r="J137" i="1"/>
  <c r="J155" i="1"/>
  <c r="J135" i="1"/>
  <c r="J259" i="1"/>
  <c r="J160" i="1"/>
  <c r="J200" i="1"/>
  <c r="J109" i="1"/>
  <c r="J26" i="1"/>
  <c r="J24" i="1"/>
  <c r="J84" i="1"/>
  <c r="J204" i="1"/>
  <c r="J254" i="1"/>
  <c r="J177" i="1"/>
  <c r="J174" i="1"/>
  <c r="J101" i="1"/>
  <c r="J71" i="1"/>
  <c r="J13" i="1"/>
  <c r="J270" i="1"/>
  <c r="J282" i="1"/>
  <c r="J95" i="1"/>
  <c r="J265" i="1"/>
  <c r="J120" i="1"/>
  <c r="J199" i="1"/>
  <c r="J159" i="1"/>
  <c r="J118" i="1"/>
  <c r="J140" i="1"/>
  <c r="J183" i="1"/>
  <c r="J34" i="1"/>
  <c r="J134" i="1"/>
  <c r="J214" i="1"/>
  <c r="J51" i="1"/>
  <c r="J28" i="1"/>
  <c r="J19" i="1"/>
  <c r="J213" i="1"/>
  <c r="J157" i="1"/>
  <c r="J151" i="1"/>
  <c r="J207" i="1"/>
  <c r="J60" i="1"/>
  <c r="J150" i="1"/>
  <c r="J231" i="1"/>
  <c r="J37" i="1"/>
  <c r="J237" i="1"/>
  <c r="J142" i="1"/>
  <c r="J263" i="1"/>
  <c r="J43" i="1"/>
  <c r="J29" i="1"/>
  <c r="J8" i="1"/>
  <c r="J144" i="1"/>
  <c r="J141" i="1"/>
  <c r="J188" i="1"/>
  <c r="J203" i="1"/>
  <c r="J233" i="1"/>
  <c r="J268" i="1"/>
  <c r="J248" i="1"/>
  <c r="J132" i="1"/>
  <c r="J86" i="1"/>
  <c r="J215" i="1"/>
  <c r="I231" i="1"/>
  <c r="I37" i="1"/>
  <c r="I237" i="1"/>
  <c r="I142" i="1"/>
  <c r="I263" i="1"/>
  <c r="I43" i="1"/>
  <c r="I29" i="1"/>
  <c r="I8" i="1"/>
  <c r="I144" i="1"/>
  <c r="I141" i="1"/>
  <c r="I188" i="1"/>
  <c r="I203" i="1"/>
  <c r="I233" i="1"/>
  <c r="I268" i="1"/>
  <c r="I248" i="1"/>
  <c r="I132" i="1"/>
  <c r="I86" i="1"/>
  <c r="I35" i="1"/>
  <c r="I14" i="1"/>
  <c r="I31" i="1"/>
  <c r="I193" i="1"/>
  <c r="I17" i="1"/>
  <c r="I127" i="1"/>
  <c r="I191" i="1"/>
  <c r="I128" i="1"/>
  <c r="I40" i="1"/>
  <c r="I90" i="1"/>
  <c r="I72" i="1"/>
  <c r="I99" i="1"/>
  <c r="I57" i="1"/>
  <c r="I22" i="1"/>
  <c r="I61" i="1"/>
  <c r="I260" i="1"/>
  <c r="I124" i="1"/>
  <c r="I67" i="1"/>
  <c r="I59" i="1"/>
  <c r="I226" i="1"/>
  <c r="I138" i="1"/>
  <c r="I46" i="1"/>
  <c r="I10" i="1"/>
  <c r="I163" i="1"/>
  <c r="I222" i="1"/>
  <c r="I181" i="1"/>
  <c r="I198" i="1"/>
  <c r="I152" i="1"/>
  <c r="I100" i="1"/>
  <c r="I250" i="1"/>
  <c r="I227" i="1"/>
  <c r="I212" i="1"/>
  <c r="I102" i="1"/>
  <c r="I7" i="1"/>
  <c r="I39" i="1"/>
  <c r="I143" i="1"/>
  <c r="I25" i="1"/>
  <c r="I217" i="1"/>
  <c r="I274" i="1"/>
  <c r="I139" i="1"/>
  <c r="I236" i="1"/>
  <c r="I146" i="1"/>
  <c r="I210" i="1"/>
  <c r="I42" i="1"/>
  <c r="I246" i="1"/>
  <c r="I153" i="1"/>
  <c r="I175" i="1"/>
  <c r="I68" i="1"/>
  <c r="I64" i="1"/>
  <c r="I130" i="1"/>
  <c r="I105" i="1"/>
  <c r="I239" i="1"/>
  <c r="I205" i="1"/>
  <c r="I249" i="1"/>
  <c r="I50" i="1"/>
  <c r="I5" i="1"/>
  <c r="I87" i="1"/>
  <c r="I78" i="1"/>
  <c r="I173" i="1"/>
  <c r="I66" i="1"/>
  <c r="I241" i="1"/>
  <c r="I106" i="1"/>
  <c r="I107" i="1"/>
  <c r="I121" i="1"/>
  <c r="I196" i="1"/>
  <c r="I96" i="1"/>
  <c r="I184" i="1"/>
  <c r="I221" i="1"/>
  <c r="I63" i="1"/>
  <c r="I219" i="1"/>
  <c r="I279" i="1"/>
  <c r="I267" i="1"/>
  <c r="I272" i="1"/>
  <c r="I244" i="1"/>
  <c r="I230" i="1"/>
  <c r="I275" i="1"/>
  <c r="I261" i="1"/>
  <c r="I110" i="1"/>
  <c r="I224" i="1"/>
  <c r="I36" i="1"/>
  <c r="I38" i="1"/>
  <c r="I83" i="1"/>
  <c r="I20" i="1"/>
  <c r="I82" i="1"/>
  <c r="I190" i="1"/>
  <c r="I264" i="1"/>
  <c r="I256" i="1"/>
  <c r="I194" i="1"/>
  <c r="I55" i="1"/>
  <c r="I98" i="1"/>
  <c r="I220" i="1"/>
  <c r="I74" i="1"/>
  <c r="I65" i="1"/>
  <c r="I242" i="1"/>
  <c r="I189" i="1"/>
  <c r="I108" i="1"/>
  <c r="I245" i="1"/>
  <c r="I185" i="1"/>
  <c r="I182" i="1"/>
  <c r="I33" i="1"/>
  <c r="I168" i="1"/>
  <c r="I276" i="1"/>
  <c r="I73" i="1"/>
  <c r="I126" i="1"/>
  <c r="I81" i="1"/>
  <c r="I238" i="1"/>
  <c r="I113" i="1"/>
  <c r="I15" i="1"/>
  <c r="I252" i="1"/>
  <c r="I9" i="1"/>
  <c r="I162" i="1"/>
  <c r="I88" i="1"/>
  <c r="I172" i="1"/>
  <c r="I4" i="1"/>
  <c r="I27" i="1"/>
  <c r="I240" i="1"/>
  <c r="I167" i="1"/>
  <c r="I161" i="1"/>
  <c r="I11" i="1"/>
  <c r="I116" i="1"/>
  <c r="I280" i="1"/>
  <c r="I187" i="1"/>
  <c r="I229" i="1"/>
  <c r="I117" i="1"/>
  <c r="I32" i="1"/>
  <c r="I52" i="1"/>
  <c r="I273" i="1"/>
  <c r="I170" i="1"/>
  <c r="I123" i="1"/>
  <c r="I2" i="1"/>
  <c r="I79" i="1"/>
  <c r="I97" i="1"/>
  <c r="I234" i="1"/>
  <c r="I197" i="1"/>
  <c r="I192" i="1"/>
  <c r="I133" i="1"/>
  <c r="I93" i="1"/>
  <c r="I112" i="1"/>
  <c r="I103" i="1"/>
  <c r="I164" i="1"/>
  <c r="I180" i="1"/>
  <c r="I70" i="1"/>
  <c r="I75" i="1"/>
  <c r="I278" i="1"/>
  <c r="I176" i="1"/>
  <c r="I178" i="1"/>
  <c r="I257" i="1"/>
  <c r="I136" i="1"/>
  <c r="I18" i="1"/>
  <c r="I23" i="1"/>
  <c r="I92" i="1"/>
  <c r="I104" i="1"/>
  <c r="I147" i="1"/>
  <c r="I271" i="1"/>
  <c r="I53" i="1"/>
  <c r="I76" i="1"/>
  <c r="I209" i="1"/>
  <c r="I211" i="1"/>
  <c r="I16" i="1"/>
  <c r="I131" i="1"/>
  <c r="I179" i="1"/>
  <c r="I47" i="1"/>
  <c r="I111" i="1"/>
  <c r="I255" i="1"/>
  <c r="I94" i="1"/>
  <c r="I122" i="1"/>
  <c r="I56" i="1"/>
  <c r="I235" i="1"/>
  <c r="I258" i="1"/>
  <c r="I89" i="1"/>
  <c r="I85" i="1"/>
  <c r="I12" i="1"/>
  <c r="I119" i="1"/>
  <c r="I232" i="1"/>
  <c r="I41" i="1"/>
  <c r="I148" i="1"/>
  <c r="I195" i="1"/>
  <c r="I69" i="1"/>
  <c r="I156" i="1"/>
  <c r="I58" i="1"/>
  <c r="I62" i="1"/>
  <c r="I202" i="1"/>
  <c r="I253" i="1"/>
  <c r="I45" i="1"/>
  <c r="I165" i="1"/>
  <c r="I149" i="1"/>
  <c r="I44" i="1"/>
  <c r="I171" i="1"/>
  <c r="I251" i="1"/>
  <c r="I125" i="1"/>
  <c r="I206" i="1"/>
  <c r="I91" i="1"/>
  <c r="I3" i="1"/>
  <c r="I80" i="1"/>
  <c r="I48" i="1"/>
  <c r="I129" i="1"/>
  <c r="I49" i="1"/>
  <c r="I154" i="1"/>
  <c r="I30" i="1"/>
  <c r="I228" i="1"/>
  <c r="I54" i="1"/>
  <c r="I247" i="1"/>
  <c r="I201" i="1"/>
  <c r="I269" i="1"/>
  <c r="I158" i="1"/>
  <c r="I243" i="1"/>
  <c r="I186" i="1"/>
  <c r="I145" i="1"/>
  <c r="I114" i="1"/>
  <c r="I277" i="1"/>
  <c r="I281" i="1"/>
  <c r="I115" i="1"/>
  <c r="I6" i="1"/>
  <c r="I169" i="1"/>
  <c r="I21" i="1"/>
  <c r="I77" i="1"/>
  <c r="I208" i="1"/>
  <c r="I225" i="1"/>
  <c r="I266" i="1"/>
  <c r="I216" i="1"/>
  <c r="I218" i="1"/>
  <c r="I262" i="1"/>
  <c r="I223" i="1"/>
  <c r="I166" i="1"/>
  <c r="I137" i="1"/>
  <c r="I155" i="1"/>
  <c r="I135" i="1"/>
  <c r="I259" i="1"/>
  <c r="I160" i="1"/>
  <c r="I200" i="1"/>
  <c r="I109" i="1"/>
  <c r="I26" i="1"/>
  <c r="I24" i="1"/>
  <c r="I84" i="1"/>
  <c r="I204" i="1"/>
  <c r="I254" i="1"/>
  <c r="I177" i="1"/>
  <c r="I174" i="1"/>
  <c r="I101" i="1"/>
  <c r="I71" i="1"/>
  <c r="I13" i="1"/>
  <c r="I270" i="1"/>
  <c r="I95" i="1"/>
  <c r="I120" i="1"/>
  <c r="I199" i="1"/>
  <c r="I159" i="1"/>
  <c r="I118" i="1"/>
  <c r="I140" i="1"/>
  <c r="I183" i="1"/>
  <c r="I34" i="1"/>
  <c r="I134" i="1"/>
  <c r="I214" i="1"/>
  <c r="I51" i="1"/>
  <c r="I28" i="1"/>
  <c r="I19" i="1"/>
  <c r="I213" i="1"/>
  <c r="I157" i="1"/>
  <c r="I151" i="1"/>
  <c r="I207" i="1"/>
  <c r="I60" i="1"/>
  <c r="I150" i="1"/>
</calcChain>
</file>

<file path=xl/sharedStrings.xml><?xml version="1.0" encoding="utf-8"?>
<sst xmlns="http://schemas.openxmlformats.org/spreadsheetml/2006/main" count="606" uniqueCount="43">
  <si>
    <t>CampaignID</t>
  </si>
  <si>
    <t>Date</t>
  </si>
  <si>
    <t>Channel</t>
  </si>
  <si>
    <t>Campaign</t>
  </si>
  <si>
    <t>Spend</t>
  </si>
  <si>
    <t>Clicks</t>
  </si>
  <si>
    <t>Conversions</t>
  </si>
  <si>
    <t>Revenue</t>
  </si>
  <si>
    <t>Email</t>
  </si>
  <si>
    <t>Welcome Series</t>
  </si>
  <si>
    <t>Google Ads</t>
  </si>
  <si>
    <t>Search - Generic</t>
  </si>
  <si>
    <t>Display</t>
  </si>
  <si>
    <t>Abandoned Cart</t>
  </si>
  <si>
    <t>Meta Ads</t>
  </si>
  <si>
    <t>Summer Sale</t>
  </si>
  <si>
    <t xml:space="preserve"> Email </t>
  </si>
  <si>
    <t>Newsletter</t>
  </si>
  <si>
    <t>Shopping</t>
  </si>
  <si>
    <t>New Arrivals</t>
  </si>
  <si>
    <t>Search - Brand</t>
  </si>
  <si>
    <t xml:space="preserve"> Google Ads </t>
  </si>
  <si>
    <t>Brand Awareness</t>
  </si>
  <si>
    <t>Retargeting</t>
  </si>
  <si>
    <t>Promo Blast</t>
  </si>
  <si>
    <t xml:space="preserve"> Meta Ads </t>
  </si>
  <si>
    <t>Cleaned_Channel</t>
  </si>
  <si>
    <t>Cleaned_Campaign</t>
  </si>
  <si>
    <t>Cleaned_Date</t>
  </si>
  <si>
    <t>ROAS</t>
  </si>
  <si>
    <t>CAC</t>
  </si>
  <si>
    <t>Row Labels</t>
  </si>
  <si>
    <t>Grand Total</t>
  </si>
  <si>
    <t>Sum of Revenue</t>
  </si>
  <si>
    <t>Sum of Spend</t>
  </si>
  <si>
    <t>Jan</t>
  </si>
  <si>
    <t>Feb</t>
  </si>
  <si>
    <t>Mar</t>
  </si>
  <si>
    <t>Apr</t>
  </si>
  <si>
    <t>May</t>
  </si>
  <si>
    <t>Jun</t>
  </si>
  <si>
    <t>Sum of Blended_ROAS</t>
  </si>
  <si>
    <t>Sum of Blende_ROAS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</si>
</sst>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I GK" refreshedDate="46222.456261689818" createdVersion="8" refreshedVersion="8" minRefreshableVersion="3" recordCount="281" xr:uid="{68A405B6-F9C9-45F8-8AD5-6FBCE60F9ED9}">
  <cacheSource type="worksheet">
    <worksheetSource ref="A1:M282" sheet="ecommerce_marketing_messy"/>
  </cacheSource>
  <cacheFields count="17">
    <cacheField name="CampaignID" numFmtId="0">
      <sharedItems containsString="0" containsBlank="1" containsNumber="1" containsInteger="1" minValue="5000" maxValue="5279"/>
    </cacheField>
    <cacheField name="Date" numFmtId="14">
      <sharedItems containsNonDate="0" containsDate="1" containsString="0" containsBlank="1" minDate="2026-01-01T00:00:00" maxDate="2026-06-30T00:00:00" count="139">
        <d v="2026-03-24T00:00:00"/>
        <d v="2026-01-16T00:00:00"/>
        <d v="2026-01-27T00:00:00"/>
        <d v="2026-02-16T00:00:00"/>
        <d v="2026-06-21T00:00:00"/>
        <d v="2026-05-28T00:00:00"/>
        <d v="2026-05-08T00:00:00"/>
        <d v="2026-02-15T00:00:00"/>
        <d v="2026-05-12T00:00:00"/>
        <d v="2026-02-08T00:00:00"/>
        <d v="2026-04-30T00:00:00"/>
        <d v="2026-06-26T00:00:00"/>
        <d v="2026-06-06T00:00:00"/>
        <d v="2026-03-31T00:00:00"/>
        <d v="2026-06-19T00:00:00"/>
        <d v="2026-02-02T00:00:00"/>
        <d v="2026-05-15T00:00:00"/>
        <d v="2026-04-28T00:00:00"/>
        <d v="2026-03-25T00:00:00"/>
        <d v="2026-02-05T00:00:00"/>
        <d v="2026-03-06T00:00:00"/>
        <d v="2026-03-23T00:00:00"/>
        <d v="2026-02-28T00:00:00"/>
        <d v="2026-05-27T00:00:00"/>
        <d v="2026-02-26T00:00:00"/>
        <d v="2026-03-21T00:00:00"/>
        <d v="2026-03-04T00:00:00"/>
        <d v="2026-03-30T00:00:00"/>
        <d v="2026-06-27T00:00:00"/>
        <d v="2026-01-01T00:00:00"/>
        <d v="2026-06-11T00:00:00"/>
        <d v="2026-04-02T00:00:00"/>
        <d v="2026-01-24T00:00:00"/>
        <d v="2026-03-15T00:00:00"/>
        <d v="2026-01-26T00:00:00"/>
        <d v="2026-01-20T00:00:00"/>
        <d v="2026-01-29T00:00:00"/>
        <d v="2026-03-26T00:00:00"/>
        <d v="2026-04-20T00:00:00"/>
        <d v="2026-04-17T00:00:00"/>
        <d v="2026-01-06T00:00:00"/>
        <d v="2026-02-25T00:00:00"/>
        <d v="2026-05-31T00:00:00"/>
        <d v="2026-06-29T00:00:00"/>
        <d v="2026-04-05T00:00:00"/>
        <d v="2026-02-19T00:00:00"/>
        <d v="2026-04-11T00:00:00"/>
        <d v="2026-02-18T00:00:00"/>
        <d v="2026-02-01T00:00:00"/>
        <d v="2026-01-08T00:00:00"/>
        <d v="2026-06-07T00:00:00"/>
        <d v="2026-04-09T00:00:00"/>
        <d v="2026-06-02T00:00:00"/>
        <d v="2026-01-22T00:00:00"/>
        <d v="2026-03-17T00:00:00"/>
        <d v="2026-06-03T00:00:00"/>
        <d v="2026-02-22T00:00:00"/>
        <d v="2026-04-12T00:00:00"/>
        <d v="2026-04-04T00:00:00"/>
        <d v="2026-02-06T00:00:00"/>
        <d v="2026-06-22T00:00:00"/>
        <d v="2026-05-10T00:00:00"/>
        <d v="2026-06-23T00:00:00"/>
        <d v="2026-05-18T00:00:00"/>
        <d v="2026-06-04T00:00:00"/>
        <d v="2026-04-16T00:00:00"/>
        <d v="2026-05-22T00:00:00"/>
        <d v="2026-01-03T00:00:00"/>
        <d v="2026-02-21T00:00:00"/>
        <d v="2026-04-19T00:00:00"/>
        <d v="2026-06-15T00:00:00"/>
        <d v="2026-06-28T00:00:00"/>
        <d v="2026-05-02T00:00:00"/>
        <d v="2026-03-13T00:00:00"/>
        <d v="2026-04-14T00:00:00"/>
        <d v="2026-03-09T00:00:00"/>
        <d v="2026-02-23T00:00:00"/>
        <d v="2026-05-07T00:00:00"/>
        <d v="2026-01-28T00:00:00"/>
        <d v="2026-06-24T00:00:00"/>
        <d v="2026-04-18T00:00:00"/>
        <d v="2026-01-13T00:00:00"/>
        <d v="2026-06-16T00:00:00"/>
        <d v="2026-01-30T00:00:00"/>
        <d v="2026-05-21T00:00:00"/>
        <d v="2026-04-06T00:00:00"/>
        <d v="2026-03-02T00:00:00"/>
        <d v="2026-01-15T00:00:00"/>
        <d v="2026-04-08T00:00:00"/>
        <d v="2026-04-26T00:00:00"/>
        <d v="2026-02-09T00:00:00"/>
        <d v="2026-02-11T00:00:00"/>
        <d v="2026-04-15T00:00:00"/>
        <d v="2026-04-25T00:00:00"/>
        <d v="2026-01-10T00:00:00"/>
        <d v="2026-02-07T00:00:00"/>
        <d v="2026-04-27T00:00:00"/>
        <d v="2026-01-11T00:00:00"/>
        <d v="2026-01-23T00:00:00"/>
        <d v="2026-04-01T00:00:00"/>
        <d v="2026-06-05T00:00:00"/>
        <d v="2026-04-24T00:00:00"/>
        <d v="2026-05-05T00:00:00"/>
        <d v="2026-05-11T00:00:00"/>
        <d v="2026-01-14T00:00:00"/>
        <d v="2026-02-17T00:00:00"/>
        <d v="2026-03-03T00:00:00"/>
        <d v="2026-03-08T00:00:00"/>
        <d v="2026-06-18T00:00:00"/>
        <d v="2026-05-14T00:00:00"/>
        <d v="2026-06-13T00:00:00"/>
        <d v="2026-01-02T00:00:00"/>
        <d v="2026-05-06T00:00:00"/>
        <d v="2026-04-23T00:00:00"/>
        <d v="2026-06-20T00:00:00"/>
        <d v="2026-05-16T00:00:00"/>
        <d v="2026-02-04T00:00:00"/>
        <d v="2026-01-07T00:00:00"/>
        <d v="2026-06-09T00:00:00"/>
        <d v="2026-03-18T00:00:00"/>
        <d v="2026-04-03T00:00:00"/>
        <d v="2026-01-25T00:00:00"/>
        <d v="2026-06-25T00:00:00"/>
        <d v="2026-04-07T00:00:00"/>
        <d v="2026-02-03T00:00:00"/>
        <d v="2026-01-17T00:00:00"/>
        <d v="2026-01-31T00:00:00"/>
        <d v="2026-04-29T00:00:00"/>
        <d v="2026-03-12T00:00:00"/>
        <d v="2026-03-01T00:00:00"/>
        <d v="2026-03-19T00:00:00"/>
        <d v="2026-01-18T00:00:00"/>
        <d v="2026-05-25T00:00:00"/>
        <d v="2026-03-20T00:00:00"/>
        <d v="2026-01-04T00:00:00"/>
        <d v="2026-02-24T00:00:00"/>
        <d v="2026-03-22T00:00:00"/>
        <d v="2026-05-01T00:00:00"/>
        <m/>
      </sharedItems>
      <fieldGroup par="14"/>
    </cacheField>
    <cacheField name="Channel" numFmtId="49">
      <sharedItems containsBlank="1"/>
    </cacheField>
    <cacheField name="Campaign" numFmtId="49">
      <sharedItems containsBlank="1"/>
    </cacheField>
    <cacheField name="Spend" numFmtId="2">
      <sharedItems containsString="0" containsBlank="1" containsNumber="1" minValue="21.74" maxValue="499.09"/>
    </cacheField>
    <cacheField name="Clicks" numFmtId="0">
      <sharedItems containsString="0" containsBlank="1" containsNumber="1" containsInteger="1" minValue="10" maxValue="800"/>
    </cacheField>
    <cacheField name="Conversions" numFmtId="0">
      <sharedItems containsString="0" containsBlank="1" containsNumber="1" containsInteger="1" minValue="0" maxValue="56"/>
    </cacheField>
    <cacheField name="Revenue" numFmtId="2">
      <sharedItems containsString="0" containsBlank="1" containsNumber="1" minValue="0" maxValue="3859.68"/>
    </cacheField>
    <cacheField name="Cleaned_Campaign" numFmtId="49">
      <sharedItems containsBlank="1" count="13">
        <s v="Search - Brand"/>
        <s v="Summer Sale"/>
        <s v="New Arrivals"/>
        <s v="Welcome Series"/>
        <s v="Display"/>
        <s v="Brand Awareness"/>
        <s v="Retargeting"/>
        <s v="Shopping"/>
        <s v="Search - Generic"/>
        <s v="Abandoned Cart"/>
        <s v="Promo Blast"/>
        <s v="Newsletter"/>
        <m/>
      </sharedItems>
    </cacheField>
    <cacheField name="Cleaned_Channel" numFmtId="49">
      <sharedItems count="4">
        <s v="Google Ads"/>
        <s v="Meta Ads"/>
        <s v="Email"/>
        <s v=""/>
      </sharedItems>
    </cacheField>
    <cacheField name="Cleaned_Date" numFmtId="0">
      <sharedItems containsBlank="1"/>
    </cacheField>
    <cacheField name="ROAS" numFmtId="0">
      <sharedItems containsString="0" containsBlank="1" containsNumber="1" minValue="0" maxValue="77.971014492753625"/>
    </cacheField>
    <cacheField name="CAC" numFmtId="0">
      <sharedItems containsString="0" containsBlank="1" containsNumber="1" minValue="0" maxValue="488.6"/>
    </cacheField>
    <cacheField name="Days (Date)" numFmtId="0" databaseField="0">
      <fieldGroup base="1">
        <rangePr groupBy="days" startDate="2026-01-01T00:00:00" endDate="2026-06-30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6-2026"/>
        </groupItems>
      </fieldGroup>
    </cacheField>
    <cacheField name="Months (Date)" numFmtId="0" databaseField="0">
      <fieldGroup base="1">
        <rangePr groupBy="months" startDate="2026-01-01T00:00:00" endDate="2026-06-30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26"/>
        </groupItems>
      </fieldGroup>
    </cacheField>
    <cacheField name="Blended_ROAS" numFmtId="0" formula="Revenue /Spend" databaseField="0"/>
    <cacheField name="Blende_ROAS" numFmtId="0" formula="Revenue /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n v="5000"/>
    <x v="0"/>
    <s v="Google Ads"/>
    <s v="Search - Brand"/>
    <n v="277.22000000000003"/>
    <n v="384"/>
    <n v="16"/>
    <n v="1346.08"/>
    <x v="0"/>
    <x v="0"/>
    <s v="24-03-2026"/>
    <n v="4.8556381213476651"/>
    <n v="17.326250000000002"/>
  </r>
  <r>
    <n v="5001"/>
    <x v="1"/>
    <s v="Meta Ads"/>
    <s v="Summer Sale"/>
    <n v="488.6"/>
    <n v="57"/>
    <n v="1"/>
    <n v="33.659999999999997"/>
    <x v="1"/>
    <x v="1"/>
    <s v="16-01-2026"/>
    <n v="6.8890708145722457E-2"/>
    <n v="488.6"/>
  </r>
  <r>
    <n v="5002"/>
    <x v="2"/>
    <s v=" Google Ads "/>
    <s v="Search - Brand"/>
    <n v="48.61"/>
    <n v="220"/>
    <n v="8"/>
    <n v="476.48"/>
    <x v="0"/>
    <x v="0"/>
    <s v="27-01-2026"/>
    <n v="9.8020983336761986"/>
    <n v="6.0762499999999999"/>
  </r>
  <r>
    <n v="5003"/>
    <x v="3"/>
    <s v="Meta Ads"/>
    <s v="New Arrivals"/>
    <n v="370.13"/>
    <n v="304"/>
    <n v="6"/>
    <n v="178.56"/>
    <x v="2"/>
    <x v="1"/>
    <s v="16-02-2026"/>
    <n v="0.48242509388593197"/>
    <n v="61.688333333333333"/>
  </r>
  <r>
    <n v="5004"/>
    <x v="4"/>
    <s v="Email"/>
    <s v="Welcome Series"/>
    <n v="258.39999999999998"/>
    <n v="477"/>
    <n v="16"/>
    <n v="497.28"/>
    <x v="3"/>
    <x v="2"/>
    <s v="21-06-2026"/>
    <n v="1.9244582043343654"/>
    <n v="16.149999999999999"/>
  </r>
  <r>
    <n v="5005"/>
    <x v="5"/>
    <s v="Google Ads"/>
    <s v="Display"/>
    <n v="471.51"/>
    <n v="373"/>
    <n v="9"/>
    <n v="293.49"/>
    <x v="4"/>
    <x v="0"/>
    <s v="28-05-2026"/>
    <n v="0.62244703187631234"/>
    <n v="52.39"/>
  </r>
  <r>
    <n v="5006"/>
    <x v="6"/>
    <s v="Meta Ads"/>
    <s v="Brand Awareness"/>
    <n v="85.72"/>
    <n v="450"/>
    <n v="12"/>
    <n v="517.20000000000005"/>
    <x v="5"/>
    <x v="1"/>
    <s v="08-05-2026"/>
    <n v="6.0335977601493243"/>
    <n v="7.1433333333333335"/>
  </r>
  <r>
    <n v="5007"/>
    <x v="7"/>
    <s v="Meta Ads"/>
    <s v="Retargeting"/>
    <n v="418.92"/>
    <n v="196"/>
    <n v="2"/>
    <n v="50.54"/>
    <x v="6"/>
    <x v="1"/>
    <s v="15-02-2026"/>
    <n v="0.12064355962952353"/>
    <n v="209.46"/>
  </r>
  <r>
    <n v="5008"/>
    <x v="8"/>
    <s v="Google Ads"/>
    <s v="Display"/>
    <n v="251.13"/>
    <n v="420"/>
    <n v="9"/>
    <n v="264.42"/>
    <x v="4"/>
    <x v="0"/>
    <s v="12-05-2026"/>
    <n v="1.0529207979930715"/>
    <n v="27.903333333333332"/>
  </r>
  <r>
    <n v="5009"/>
    <x v="9"/>
    <s v="Google Ads"/>
    <s v="Search - Brand"/>
    <n v="119.82"/>
    <n v="395"/>
    <n v="10"/>
    <n v="414"/>
    <x v="0"/>
    <x v="0"/>
    <s v="08-02-2026"/>
    <n v="3.455182774161242"/>
    <n v="11.981999999999999"/>
  </r>
  <r>
    <n v="5010"/>
    <x v="10"/>
    <s v="Google Ads"/>
    <s v="Shopping"/>
    <n v="69.05"/>
    <n v="360"/>
    <n v="17"/>
    <n v="953.87"/>
    <x v="7"/>
    <x v="0"/>
    <s v="30-04-2026"/>
    <n v="13.814192614047792"/>
    <n v="4.0617647058823527"/>
  </r>
  <r>
    <n v="5011"/>
    <x v="11"/>
    <s v="Email"/>
    <s v="Welcome Series"/>
    <n v="354.17"/>
    <n v="277"/>
    <n v="16"/>
    <n v="1344.64"/>
    <x v="3"/>
    <x v="2"/>
    <s v="26-06-2026"/>
    <n v="3.7965948555778302"/>
    <n v="22.135625000000001"/>
  </r>
  <r>
    <n v="5012"/>
    <x v="12"/>
    <s v="Meta Ads"/>
    <s v="Brand Awareness"/>
    <n v="268.47000000000003"/>
    <n v="374"/>
    <n v="9"/>
    <n v="803.88"/>
    <x v="5"/>
    <x v="1"/>
    <s v="06-06-2026"/>
    <n v="2.9943010392222593"/>
    <n v="29.830000000000002"/>
  </r>
  <r>
    <n v="5013"/>
    <x v="13"/>
    <s v="Meta Ads"/>
    <s v="Retargeting"/>
    <n v="182.11"/>
    <n v="504"/>
    <n v="11"/>
    <n v="918.72"/>
    <x v="6"/>
    <x v="1"/>
    <s v="31-03-2026"/>
    <n v="5.0448629948931965"/>
    <n v="16.555454545454548"/>
  </r>
  <r>
    <n v="5014"/>
    <x v="14"/>
    <s v="Google Ads"/>
    <s v="Search - Generic"/>
    <n v="398.79"/>
    <n v="350"/>
    <n v="8"/>
    <n v="692"/>
    <x v="8"/>
    <x v="0"/>
    <s v="19-06-2026"/>
    <n v="1.7352491286140574"/>
    <n v="49.848750000000003"/>
  </r>
  <r>
    <n v="5015"/>
    <x v="15"/>
    <s v="Meta Ads"/>
    <s v="Brand Awareness"/>
    <n v="416.73"/>
    <n v="495"/>
    <n v="4"/>
    <n v="525.58000000000004"/>
    <x v="5"/>
    <x v="1"/>
    <s v="02-02-2026"/>
    <n v="1.2612002975547718"/>
    <n v="104.1825"/>
  </r>
  <r>
    <n v="5016"/>
    <x v="16"/>
    <s v="Google Ads"/>
    <s v="Search - Generic"/>
    <n v="140.88"/>
    <n v="309"/>
    <n v="12"/>
    <n v="895.68"/>
    <x v="8"/>
    <x v="0"/>
    <s v="15-05-2026"/>
    <n v="6.3577512776831346"/>
    <n v="11.74"/>
  </r>
  <r>
    <n v="5017"/>
    <x v="17"/>
    <s v="Email"/>
    <s v="Abandoned Cart"/>
    <n v="28.98"/>
    <n v="460"/>
    <n v="35"/>
    <n v="2259.6"/>
    <x v="9"/>
    <x v="2"/>
    <s v="28-04-2026"/>
    <n v="77.971014492753625"/>
    <n v="0.82799999999999996"/>
  </r>
  <r>
    <n v="5018"/>
    <x v="1"/>
    <s v="Email"/>
    <s v="Promo Blast"/>
    <n v="288.94"/>
    <n v="264"/>
    <n v="29"/>
    <n v="277.39999999999998"/>
    <x v="10"/>
    <x v="2"/>
    <s v="16-01-2026"/>
    <n v="0.96006091230013146"/>
    <n v="9.9634482758620688"/>
  </r>
  <r>
    <n v="5019"/>
    <x v="18"/>
    <s v="Email"/>
    <s v="Welcome Series"/>
    <n v="249.46"/>
    <n v="263"/>
    <n v="18"/>
    <n v="1475.46"/>
    <x v="3"/>
    <x v="2"/>
    <s v="25-03-2026"/>
    <n v="5.9146155696304019"/>
    <n v="13.85888888888889"/>
  </r>
  <r>
    <n v="5020"/>
    <x v="19"/>
    <s v=" Meta Ads "/>
    <s v="Brand Awareness"/>
    <n v="135.51"/>
    <n v="84"/>
    <n v="1"/>
    <n v="44.68"/>
    <x v="5"/>
    <x v="1"/>
    <s v="05-02-2026"/>
    <n v="0.32971736403217478"/>
    <n v="135.51"/>
  </r>
  <r>
    <n v="5021"/>
    <x v="20"/>
    <s v=" Google Ads "/>
    <s v="Search - Generic"/>
    <n v="444.77"/>
    <n v="176"/>
    <n v="10"/>
    <n v="791.1"/>
    <x v="8"/>
    <x v="0"/>
    <s v="06-03-2026"/>
    <n v="1.7786721226701443"/>
    <n v="44.476999999999997"/>
  </r>
  <r>
    <n v="5022"/>
    <x v="21"/>
    <s v="Email"/>
    <s v="Welcome Series"/>
    <n v="285.94"/>
    <n v="461"/>
    <n v="33"/>
    <n v="1649.34"/>
    <x v="3"/>
    <x v="2"/>
    <s v="23-03-2026"/>
    <n v="5.768133174791914"/>
    <n v="8.6648484848484841"/>
  </r>
  <r>
    <n v="5023"/>
    <x v="22"/>
    <s v="Meta Ads"/>
    <s v="New Arrivals"/>
    <n v="107.14"/>
    <n v="783"/>
    <n v="9"/>
    <n v="472.05"/>
    <x v="2"/>
    <x v="1"/>
    <s v="28-02-2026"/>
    <n v="4.4059174911330974"/>
    <n v="11.904444444444444"/>
  </r>
  <r>
    <n v="5024"/>
    <x v="23"/>
    <s v="Email"/>
    <s v="Welcome Series"/>
    <n v="47.61"/>
    <n v="401"/>
    <n v="29"/>
    <n v="2412.5100000000002"/>
    <x v="3"/>
    <x v="2"/>
    <s v="27-05-2026"/>
    <n v="50.672337744171401"/>
    <n v="1.6417241379310346"/>
  </r>
  <r>
    <n v="5025"/>
    <x v="24"/>
    <s v="Google Ads"/>
    <s v="Search - Brand"/>
    <n v="285.47000000000003"/>
    <n v="284"/>
    <n v="12"/>
    <n v="333.72"/>
    <x v="0"/>
    <x v="0"/>
    <s v="26-02-2026"/>
    <n v="1.1690195116824884"/>
    <n v="23.78916666666667"/>
  </r>
  <r>
    <n v="5026"/>
    <x v="25"/>
    <s v="Email"/>
    <s v="Abandoned Cart"/>
    <n v="251.37"/>
    <n v="460"/>
    <n v="28"/>
    <n v="2509.92"/>
    <x v="9"/>
    <x v="2"/>
    <s v="21-03-2026"/>
    <n v="9.9849624060150379"/>
    <n v="8.9775000000000009"/>
  </r>
  <r>
    <n v="5027"/>
    <x v="26"/>
    <s v="Meta Ads"/>
    <s v="Brand Awareness"/>
    <n v="446.59"/>
    <n v="528"/>
    <n v="8"/>
    <n v="311.92"/>
    <x v="5"/>
    <x v="1"/>
    <s v="04-03-2026"/>
    <n v="0.69844824111601256"/>
    <n v="55.823749999999997"/>
  </r>
  <r>
    <n v="5028"/>
    <x v="27"/>
    <s v="Meta Ads"/>
    <s v="Summer Sale"/>
    <n v="375.63"/>
    <n v="271"/>
    <n v="5"/>
    <n v="143"/>
    <x v="1"/>
    <x v="1"/>
    <s v="30-03-2026"/>
    <n v="0.38069376780342357"/>
    <n v="75.126000000000005"/>
  </r>
  <r>
    <n v="5029"/>
    <x v="28"/>
    <s v="Meta Ads"/>
    <s v="Brand Awareness"/>
    <n v="21.74"/>
    <n v="382"/>
    <n v="11"/>
    <n v="970.42"/>
    <x v="5"/>
    <x v="1"/>
    <s v="27-06-2026"/>
    <n v="44.637534498620056"/>
    <n v="1.9763636363636363"/>
  </r>
  <r>
    <n v="5030"/>
    <x v="29"/>
    <s v="Google Ads"/>
    <s v="Search - Brand"/>
    <n v="116.47"/>
    <n v="526"/>
    <n v="26"/>
    <n v="803.66"/>
    <x v="0"/>
    <x v="0"/>
    <s v="01-01-2026"/>
    <n v="6.9001459603331332"/>
    <n v="4.4796153846153848"/>
  </r>
  <r>
    <n v="5031"/>
    <x v="30"/>
    <s v="Meta Ads"/>
    <s v="Retargeting"/>
    <n v="441.96"/>
    <n v="408"/>
    <n v="10"/>
    <n v="718.4"/>
    <x v="6"/>
    <x v="1"/>
    <s v="11-06-2026"/>
    <n v="1.6254864693637434"/>
    <n v="44.195999999999998"/>
  </r>
  <r>
    <n v="5032"/>
    <x v="8"/>
    <s v="Email"/>
    <s v="Abandoned Cart"/>
    <n v="292.87"/>
    <n v="26"/>
    <n v="2"/>
    <n v="125.92"/>
    <x v="9"/>
    <x v="2"/>
    <s v="12-05-2026"/>
    <n v="0.42995185577218559"/>
    <n v="146.435"/>
  </r>
  <r>
    <n v="5033"/>
    <x v="31"/>
    <s v="Meta Ads"/>
    <s v="Brand Awareness"/>
    <n v="321.33"/>
    <n v="651"/>
    <n v="13"/>
    <n v="531.70000000000005"/>
    <x v="5"/>
    <x v="1"/>
    <s v="02-04-2026"/>
    <n v="1.6546852145769149"/>
    <n v="24.717692307692307"/>
  </r>
  <r>
    <n v="5034"/>
    <x v="32"/>
    <s v=" Email "/>
    <s v="Promo Blast"/>
    <n v="147.47"/>
    <n v="756"/>
    <n v="56"/>
    <n v="2240"/>
    <x v="10"/>
    <x v="2"/>
    <s v="24-01-2026"/>
    <n v="15.189530073913339"/>
    <n v="2.6333928571428573"/>
  </r>
  <r>
    <n v="5035"/>
    <x v="33"/>
    <s v="Email"/>
    <s v="Abandoned Cart"/>
    <n v="90.76"/>
    <n v="270"/>
    <n v="18"/>
    <n v="1260.72"/>
    <x v="9"/>
    <x v="2"/>
    <s v="15-03-2026"/>
    <n v="13.890700749228735"/>
    <n v="5.0422222222222226"/>
  </r>
  <r>
    <n v="5036"/>
    <x v="34"/>
    <s v="Email"/>
    <s v="Promo Blast"/>
    <n v="243.04"/>
    <n v="487"/>
    <n v="37"/>
    <n v="3313.72"/>
    <x v="10"/>
    <x v="2"/>
    <s v="26-01-2026"/>
    <n v="13.634463462804476"/>
    <n v="6.5686486486486482"/>
  </r>
  <r>
    <n v="5037"/>
    <x v="35"/>
    <s v="Google Ads"/>
    <s v="Display"/>
    <n v="121.14"/>
    <n v="605"/>
    <n v="14"/>
    <n v="1030.26"/>
    <x v="4"/>
    <x v="0"/>
    <s v="20-01-2026"/>
    <n v="8.5047052996532937"/>
    <n v="8.6528571428571421"/>
  </r>
  <r>
    <n v="5038"/>
    <x v="36"/>
    <s v="Meta Ads"/>
    <s v="Brand Awareness"/>
    <n v="31.92"/>
    <n v="13"/>
    <n v="0"/>
    <n v="0"/>
    <x v="5"/>
    <x v="1"/>
    <s v="29-01-2026"/>
    <n v="0"/>
    <n v="0"/>
  </r>
  <r>
    <n v="5039"/>
    <x v="37"/>
    <s v="Google Ads"/>
    <s v="Shopping"/>
    <n v="464.67"/>
    <n v="740"/>
    <n v="15"/>
    <n v="1096.3499999999999"/>
    <x v="7"/>
    <x v="0"/>
    <s v="26-03-2026"/>
    <n v="2.3594163599974172"/>
    <n v="30.978000000000002"/>
  </r>
  <r>
    <n v="5040"/>
    <x v="38"/>
    <s v="Meta Ads"/>
    <s v="New Arrivals"/>
    <n v="157.1"/>
    <n v="162"/>
    <n v="2"/>
    <n v="84.54"/>
    <x v="2"/>
    <x v="1"/>
    <s v="20-04-2026"/>
    <n v="0.53812858052196055"/>
    <n v="78.55"/>
  </r>
  <r>
    <n v="5041"/>
    <x v="30"/>
    <s v=" Email "/>
    <s v="Abandoned Cart"/>
    <n v="371.53"/>
    <n v="471"/>
    <n v="31"/>
    <n v="1054.31"/>
    <x v="9"/>
    <x v="2"/>
    <s v="11-06-2026"/>
    <n v="2.8377519984927195"/>
    <n v="11.984838709677419"/>
  </r>
  <r>
    <n v="5042"/>
    <x v="39"/>
    <s v="Google Ads"/>
    <s v="Shopping"/>
    <n v="333.35"/>
    <n v="425"/>
    <n v="19"/>
    <n v="846.45"/>
    <x v="7"/>
    <x v="0"/>
    <s v="17-04-2026"/>
    <n v="2.5392230388480574"/>
    <n v="17.544736842105266"/>
  </r>
  <r>
    <n v="5043"/>
    <x v="6"/>
    <s v="Google Ads"/>
    <s v="Shopping"/>
    <n v="87.01"/>
    <n v="207"/>
    <n v="6"/>
    <n v="218.16"/>
    <x v="7"/>
    <x v="0"/>
    <s v="08-05-2026"/>
    <n v="2.5072980117227903"/>
    <n v="14.501666666666667"/>
  </r>
  <r>
    <n v="5044"/>
    <x v="40"/>
    <s v="Google Ads"/>
    <s v="Display"/>
    <n v="149.72"/>
    <n v="780"/>
    <n v="17"/>
    <n v="731.68"/>
    <x v="4"/>
    <x v="0"/>
    <s v="06-01-2026"/>
    <n v="4.8869890462196093"/>
    <n v="8.8070588235294114"/>
  </r>
  <r>
    <n v="5045"/>
    <x v="41"/>
    <s v="Google Ads"/>
    <s v="Search - Generic"/>
    <n v="279.94"/>
    <n v="329"/>
    <n v="17"/>
    <n v="1389.58"/>
    <x v="8"/>
    <x v="0"/>
    <s v="25-02-2026"/>
    <n v="4.9638493962992065"/>
    <n v="16.467058823529413"/>
  </r>
  <r>
    <n v="5046"/>
    <x v="42"/>
    <s v="Meta Ads"/>
    <s v="Summer Sale"/>
    <n v="416.28"/>
    <n v="489"/>
    <n v="14"/>
    <n v="576.1"/>
    <x v="1"/>
    <x v="1"/>
    <s v="31-05-2026"/>
    <n v="1.3839242817334487"/>
    <n v="29.734285714285711"/>
  </r>
  <r>
    <n v="5047"/>
    <x v="43"/>
    <s v="Meta Ads"/>
    <s v="Summer Sale"/>
    <n v="80.31"/>
    <n v="593"/>
    <n v="16"/>
    <n v="1071.3599999999999"/>
    <x v="1"/>
    <x v="1"/>
    <s v="29-06-2026"/>
    <n v="13.340306313036979"/>
    <n v="5.0193750000000001"/>
  </r>
  <r>
    <n v="5048"/>
    <x v="36"/>
    <s v="Meta Ads"/>
    <s v="New Arrivals"/>
    <n v="206.28"/>
    <n v="238"/>
    <n v="6"/>
    <n v="150.41999999999999"/>
    <x v="2"/>
    <x v="1"/>
    <s v="29-01-2026"/>
    <n v="0.72920302501454326"/>
    <n v="34.380000000000003"/>
  </r>
  <r>
    <n v="5049"/>
    <x v="26"/>
    <s v=" Email "/>
    <s v="Abandoned Cart"/>
    <n v="217.67"/>
    <n v="675"/>
    <n v="32"/>
    <n v="845.44"/>
    <x v="9"/>
    <x v="2"/>
    <s v="04-03-2026"/>
    <n v="3.8840446547526075"/>
    <n v="6.8021874999999996"/>
  </r>
  <r>
    <n v="5050"/>
    <x v="44"/>
    <s v="Google Ads"/>
    <s v="Search - Brand"/>
    <n v="193.91"/>
    <n v="415"/>
    <n v="11"/>
    <n v="844.91"/>
    <x v="0"/>
    <x v="0"/>
    <s v="05-04-2026"/>
    <n v="4.3572275798050644"/>
    <n v="17.628181818181819"/>
  </r>
  <r>
    <n v="5051"/>
    <x v="45"/>
    <s v="Google Ads"/>
    <s v="Search - Generic"/>
    <n v="72.319999999999993"/>
    <n v="648"/>
    <n v="25"/>
    <n v="929.5"/>
    <x v="8"/>
    <x v="0"/>
    <s v="19-02-2026"/>
    <n v="12.852599557522126"/>
    <n v="2.8927999999999998"/>
  </r>
  <r>
    <n v="5052"/>
    <x v="46"/>
    <s v="Meta Ads"/>
    <s v="Summer Sale"/>
    <n v="44.88"/>
    <n v="71"/>
    <n v="0"/>
    <n v="0"/>
    <x v="1"/>
    <x v="1"/>
    <s v="11-04-2026"/>
    <n v="0"/>
    <n v="0"/>
  </r>
  <r>
    <n v="5053"/>
    <x v="47"/>
    <s v="Email"/>
    <s v="Promo Blast"/>
    <n v="338.93"/>
    <n v="397"/>
    <n v="31"/>
    <n v="2759.62"/>
    <x v="10"/>
    <x v="2"/>
    <s v="18-02-2026"/>
    <n v="8.1421532469831526"/>
    <n v="10.933225806451613"/>
  </r>
  <r>
    <n v="5054"/>
    <x v="48"/>
    <s v="Google Ads"/>
    <s v="Shopping"/>
    <n v="405.89"/>
    <n v="99"/>
    <n v="2"/>
    <n v="111.56"/>
    <x v="7"/>
    <x v="0"/>
    <s v="01-02-2026"/>
    <n v="0.27485279262854467"/>
    <n v="202.94499999999999"/>
  </r>
  <r>
    <n v="5055"/>
    <x v="49"/>
    <s v="Meta Ads"/>
    <s v="Brand Awareness"/>
    <n v="36.729999999999997"/>
    <n v="74"/>
    <n v="1"/>
    <n v="29.03"/>
    <x v="5"/>
    <x v="1"/>
    <s v="08-01-2026"/>
    <n v="0.79036210182412203"/>
    <n v="36.729999999999997"/>
  </r>
  <r>
    <n v="5056"/>
    <x v="50"/>
    <s v="Google Ads"/>
    <s v="Shopping"/>
    <n v="366.35"/>
    <n v="479"/>
    <n v="35"/>
    <n v="2317.35"/>
    <x v="7"/>
    <x v="0"/>
    <s v="07-06-2026"/>
    <n v="6.3255083936126653"/>
    <n v="10.467142857142857"/>
  </r>
  <r>
    <n v="5057"/>
    <x v="51"/>
    <s v="Google Ads"/>
    <s v="Display"/>
    <n v="24.18"/>
    <n v="766"/>
    <n v="24"/>
    <n v="1679.76"/>
    <x v="4"/>
    <x v="0"/>
    <s v="09-04-2026"/>
    <n v="69.468982630272947"/>
    <n v="1.0075000000000001"/>
  </r>
  <r>
    <n v="5058"/>
    <x v="52"/>
    <s v="Email"/>
    <s v="Abandoned Cart"/>
    <n v="215.72"/>
    <n v="675"/>
    <n v="21"/>
    <n v="1279.32"/>
    <x v="9"/>
    <x v="2"/>
    <s v="02-06-2026"/>
    <n v="5.9304654181346184"/>
    <n v="10.272380952380953"/>
  </r>
  <r>
    <n v="5059"/>
    <x v="53"/>
    <s v="Meta Ads"/>
    <s v="Brand Awareness"/>
    <n v="234.54"/>
    <n v="249"/>
    <n v="3"/>
    <n v="164.88"/>
    <x v="5"/>
    <x v="1"/>
    <s v="22-01-2026"/>
    <n v="0.70299309286262468"/>
    <n v="78.179999999999993"/>
  </r>
  <r>
    <n v="5060"/>
    <x v="54"/>
    <s v="Google Ads"/>
    <s v="Shopping"/>
    <n v="115.61"/>
    <n v="263"/>
    <n v="7"/>
    <n v="282.17"/>
    <x v="7"/>
    <x v="0"/>
    <s v="17-03-2026"/>
    <n v="2.4407058212957358"/>
    <n v="16.515714285714285"/>
  </r>
  <r>
    <n v="5061"/>
    <x v="26"/>
    <s v="Email"/>
    <s v="Newsletter"/>
    <n v="69.12"/>
    <n v="496"/>
    <n v="41"/>
    <n v="1640.82"/>
    <x v="11"/>
    <x v="2"/>
    <s v="04-03-2026"/>
    <n v="23.738715277777775"/>
    <n v="1.6858536585365855"/>
  </r>
  <r>
    <n v="5062"/>
    <x v="55"/>
    <s v="Meta Ads"/>
    <s v="New Arrivals"/>
    <n v="309.45999999999998"/>
    <n v="690"/>
    <n v="19"/>
    <n v="605.72"/>
    <x v="2"/>
    <x v="1"/>
    <s v="03-06-2026"/>
    <n v="1.9573450526723972"/>
    <n v="16.28736842105263"/>
  </r>
  <r>
    <n v="5063"/>
    <x v="56"/>
    <s v="Meta Ads"/>
    <s v="Retargeting"/>
    <n v="216.32"/>
    <n v="390"/>
    <n v="5"/>
    <n v="226.45"/>
    <x v="6"/>
    <x v="1"/>
    <s v="22-02-2026"/>
    <n v="1.046828772189349"/>
    <n v="43.263999999999996"/>
  </r>
  <r>
    <n v="5064"/>
    <x v="57"/>
    <s v="Email"/>
    <s v="Newsletter"/>
    <n v="150.16"/>
    <n v="300"/>
    <n v="21"/>
    <n v="1095.3599999999999"/>
    <x v="11"/>
    <x v="2"/>
    <s v="12-04-2026"/>
    <n v="7.2946190729888114"/>
    <n v="7.1504761904761907"/>
  </r>
  <r>
    <n v="5065"/>
    <x v="58"/>
    <s v=" Google Ads "/>
    <s v="Display"/>
    <n v="452.78"/>
    <n v="443"/>
    <n v="10"/>
    <n v="308.8"/>
    <x v="4"/>
    <x v="0"/>
    <s v="04-04-2026"/>
    <n v="0.68200892265559443"/>
    <n v="45.277999999999999"/>
  </r>
  <r>
    <n v="5066"/>
    <x v="59"/>
    <s v="Meta Ads"/>
    <s v="New Arrivals"/>
    <n v="187.01"/>
    <n v="175"/>
    <n v="3"/>
    <n v="255.48"/>
    <x v="2"/>
    <x v="1"/>
    <s v="06-02-2026"/>
    <n v="1.366130153467729"/>
    <n v="62.336666666666666"/>
  </r>
  <r>
    <n v="5067"/>
    <x v="15"/>
    <s v="Google Ads"/>
    <s v="Shopping"/>
    <n v="464.56"/>
    <n v="407"/>
    <n v="9"/>
    <n v="641.70000000000005"/>
    <x v="7"/>
    <x v="0"/>
    <s v="02-02-2026"/>
    <n v="1.3813070432236956"/>
    <n v="51.617777777777775"/>
  </r>
  <r>
    <n v="5068"/>
    <x v="50"/>
    <s v=" Google Ads "/>
    <s v="Search - Generic"/>
    <n v="470.5"/>
    <n v="170"/>
    <n v="6"/>
    <n v="198"/>
    <x v="8"/>
    <x v="0"/>
    <s v="07-06-2026"/>
    <n v="0.4208289054197662"/>
    <n v="78.416666666666671"/>
  </r>
  <r>
    <n v="5069"/>
    <x v="60"/>
    <s v="Email"/>
    <s v="Welcome Series"/>
    <n v="284.02"/>
    <n v="652"/>
    <n v="49"/>
    <n v="3292.31"/>
    <x v="3"/>
    <x v="2"/>
    <s v="22-06-2026"/>
    <n v="11.591824519400042"/>
    <n v="5.7963265306122445"/>
  </r>
  <r>
    <n v="5070"/>
    <x v="7"/>
    <s v="Meta Ads"/>
    <s v="Brand Awareness"/>
    <n v="316.92"/>
    <n v="479"/>
    <n v="12"/>
    <n v="932.16"/>
    <x v="5"/>
    <x v="1"/>
    <s v="15-02-2026"/>
    <n v="2.9413101098068912"/>
    <n v="26.41"/>
  </r>
  <r>
    <n v="5071"/>
    <x v="61"/>
    <s v="Meta Ads"/>
    <s v="Retargeting"/>
    <n v="372.07"/>
    <n v="747"/>
    <n v="15"/>
    <n v="427.95"/>
    <x v="6"/>
    <x v="1"/>
    <s v="10-05-2026"/>
    <n v="1.1501867928078049"/>
    <n v="24.804666666666666"/>
  </r>
  <r>
    <n v="5072"/>
    <x v="50"/>
    <s v="Meta Ads"/>
    <s v="Retargeting"/>
    <n v="479.19"/>
    <n v="179"/>
    <n v="4"/>
    <n v="287.48"/>
    <x v="6"/>
    <x v="1"/>
    <s v="07-06-2026"/>
    <n v="0.59992904693336679"/>
    <n v="119.7975"/>
  </r>
  <r>
    <n v="5073"/>
    <x v="50"/>
    <s v="Google Ads"/>
    <s v="Search - Generic"/>
    <n v="250.45"/>
    <n v="616"/>
    <n v="18"/>
    <n v="1042.02"/>
    <x v="8"/>
    <x v="0"/>
    <s v="07-06-2026"/>
    <n v="4.1605909363146338"/>
    <n v="13.913888888888888"/>
  </r>
  <r>
    <n v="5074"/>
    <x v="62"/>
    <s v="Google Ads"/>
    <s v="Search - Generic"/>
    <n v="388.77"/>
    <n v="59"/>
    <n v="2"/>
    <n v="96.78"/>
    <x v="8"/>
    <x v="0"/>
    <s v="23-06-2026"/>
    <n v="0.24893896133960955"/>
    <n v="194.38499999999999"/>
  </r>
  <r>
    <n v="5075"/>
    <x v="63"/>
    <s v="Email"/>
    <s v="Welcome Series"/>
    <n v="297.13"/>
    <n v="378"/>
    <n v="18"/>
    <n v="545.22"/>
    <x v="3"/>
    <x v="2"/>
    <s v="18-05-2026"/>
    <n v="1.8349543970652578"/>
    <n v="16.507222222222222"/>
  </r>
  <r>
    <n v="5076"/>
    <x v="25"/>
    <s v="Email"/>
    <s v="Newsletter"/>
    <n v="159.66999999999999"/>
    <n v="650"/>
    <n v="36"/>
    <n v="2099.52"/>
    <x v="11"/>
    <x v="2"/>
    <s v="21-03-2026"/>
    <n v="13.149120060124007"/>
    <n v="4.4352777777777774"/>
  </r>
  <r>
    <n v="5077"/>
    <x v="29"/>
    <s v="Google Ads"/>
    <s v="Search - Brand"/>
    <n v="218.35"/>
    <n v="318"/>
    <n v="13"/>
    <n v="497.51"/>
    <x v="0"/>
    <x v="0"/>
    <s v="01-01-2026"/>
    <n v="2.2784978245935426"/>
    <n v="16.796153846153846"/>
  </r>
  <r>
    <n v="5078"/>
    <x v="9"/>
    <s v="Meta Ads"/>
    <s v="Summer Sale"/>
    <n v="395.43"/>
    <n v="421"/>
    <n v="11"/>
    <n v="966.46"/>
    <x v="1"/>
    <x v="1"/>
    <s v="08-02-2026"/>
    <n v="2.4440735401967477"/>
    <n v="35.948181818181816"/>
  </r>
  <r>
    <n v="5079"/>
    <x v="64"/>
    <s v=" Meta Ads "/>
    <s v="Retargeting"/>
    <n v="275.13"/>
    <n v="425"/>
    <n v="5"/>
    <n v="176.75"/>
    <x v="6"/>
    <x v="1"/>
    <s v="04-06-2026"/>
    <n v="0.64242358157961688"/>
    <n v="55.025999999999996"/>
  </r>
  <r>
    <n v="5080"/>
    <x v="65"/>
    <s v="Email"/>
    <s v="Promo Blast"/>
    <n v="168.5"/>
    <n v="317"/>
    <n v="21"/>
    <n v="1881.81"/>
    <x v="10"/>
    <x v="2"/>
    <s v="16-04-2026"/>
    <n v="11.168011869436201"/>
    <n v="8.0238095238095237"/>
  </r>
  <r>
    <n v="5081"/>
    <x v="10"/>
    <s v="Email"/>
    <s v="Promo Blast"/>
    <n v="145.47999999999999"/>
    <n v="669"/>
    <n v="21"/>
    <n v="983.01"/>
    <x v="10"/>
    <x v="2"/>
    <s v="30-04-2026"/>
    <n v="6.7570112730272207"/>
    <n v="6.9276190476190473"/>
  </r>
  <r>
    <n v="5082"/>
    <x v="66"/>
    <s v="Email"/>
    <s v="Welcome Series"/>
    <n v="449.21"/>
    <n v="97"/>
    <n v="8"/>
    <n v="207.92"/>
    <x v="3"/>
    <x v="2"/>
    <s v="22-05-2026"/>
    <n v="0.46285701564969611"/>
    <n v="56.151249999999997"/>
  </r>
  <r>
    <n v="5083"/>
    <x v="18"/>
    <s v="Google Ads"/>
    <s v="Shopping"/>
    <n v="428.93"/>
    <n v="719"/>
    <n v="42"/>
    <n v="838.2"/>
    <x v="7"/>
    <x v="0"/>
    <s v="25-03-2026"/>
    <n v="1.954165015270557"/>
    <n v="10.212619047619048"/>
  </r>
  <r>
    <n v="5084"/>
    <x v="67"/>
    <s v=" Meta Ads "/>
    <s v="Brand Awareness"/>
    <n v="457.18"/>
    <n v="158"/>
    <n v="1"/>
    <n v="32.270000000000003"/>
    <x v="5"/>
    <x v="1"/>
    <s v="03-01-2026"/>
    <n v="7.0584889977689316E-2"/>
    <n v="457.18"/>
  </r>
  <r>
    <n v="5085"/>
    <x v="19"/>
    <s v=" Email "/>
    <s v="Newsletter"/>
    <n v="303.43"/>
    <n v="382"/>
    <n v="16"/>
    <n v="1392.8"/>
    <x v="11"/>
    <x v="2"/>
    <s v="05-02-2026"/>
    <n v="4.5901855452657943"/>
    <n v="18.964375"/>
  </r>
  <r>
    <n v="5086"/>
    <x v="51"/>
    <s v=" Meta Ads "/>
    <s v="Retargeting"/>
    <n v="475.64"/>
    <n v="781"/>
    <n v="17"/>
    <n v="1336.71"/>
    <x v="6"/>
    <x v="1"/>
    <s v="09-04-2026"/>
    <n v="2.8103397527541838"/>
    <n v="27.978823529411763"/>
  </r>
  <r>
    <n v="5087"/>
    <x v="56"/>
    <s v=" Google Ads "/>
    <s v="Shopping"/>
    <n v="143.22"/>
    <n v="299"/>
    <n v="6"/>
    <n v="446.34"/>
    <x v="7"/>
    <x v="0"/>
    <s v="22-02-2026"/>
    <n v="3.11646418098031"/>
    <n v="23.87"/>
  </r>
  <r>
    <n v="5088"/>
    <x v="49"/>
    <s v=" Meta Ads "/>
    <s v="Brand Awareness"/>
    <n v="245.09"/>
    <n v="59"/>
    <n v="1"/>
    <n v="39.08"/>
    <x v="5"/>
    <x v="1"/>
    <s v="08-01-2026"/>
    <n v="0.15945163001346443"/>
    <n v="245.09"/>
  </r>
  <r>
    <n v="5089"/>
    <x v="68"/>
    <s v=" Meta Ads "/>
    <s v="Summer Sale"/>
    <n v="353.7"/>
    <n v="198"/>
    <n v="5"/>
    <n v="317.60000000000002"/>
    <x v="1"/>
    <x v="1"/>
    <s v="21-02-2026"/>
    <n v="0.89793610404297441"/>
    <n v="70.739999999999995"/>
  </r>
  <r>
    <n v="5090"/>
    <x v="43"/>
    <s v="Google Ads"/>
    <s v="Search - Generic"/>
    <n v="58.82"/>
    <n v="723"/>
    <n v="30"/>
    <n v="954"/>
    <x v="8"/>
    <x v="0"/>
    <s v="29-06-2026"/>
    <n v="16.218973138388304"/>
    <n v="1.9606666666666668"/>
  </r>
  <r>
    <n v="5091"/>
    <x v="69"/>
    <s v="Google Ads"/>
    <s v="Search - Generic"/>
    <n v="281.57"/>
    <n v="185"/>
    <n v="6"/>
    <n v="494.76"/>
    <x v="8"/>
    <x v="0"/>
    <s v="19-04-2026"/>
    <n v="1.75714742337607"/>
    <n v="46.928333333333335"/>
  </r>
  <r>
    <n v="5092"/>
    <x v="70"/>
    <s v="Google Ads"/>
    <s v="Shopping"/>
    <n v="236.15"/>
    <n v="577"/>
    <n v="28"/>
    <n v="1008.56"/>
    <x v="7"/>
    <x v="0"/>
    <s v="15-06-2026"/>
    <n v="4.270844802032606"/>
    <n v="8.4339285714285719"/>
  </r>
  <r>
    <n v="5093"/>
    <x v="71"/>
    <s v="Email"/>
    <s v="Abandoned Cart"/>
    <n v="416.73"/>
    <n v="642"/>
    <n v="25"/>
    <n v="878.5"/>
    <x v="9"/>
    <x v="2"/>
    <s v="28-06-2026"/>
    <n v="2.1080795719050704"/>
    <n v="16.6692"/>
  </r>
  <r>
    <n v="5094"/>
    <x v="47"/>
    <s v="Email"/>
    <s v="Newsletter"/>
    <n v="113.81"/>
    <n v="164"/>
    <n v="14"/>
    <n v="1073.3800000000001"/>
    <x v="11"/>
    <x v="2"/>
    <s v="18-02-2026"/>
    <n v="9.4313329232932084"/>
    <n v="8.1292857142857144"/>
  </r>
  <r>
    <n v="5095"/>
    <x v="56"/>
    <s v="Google Ads"/>
    <s v="Search - Brand"/>
    <n v="430.08"/>
    <n v="457"/>
    <n v="21"/>
    <n v="1208.1300000000001"/>
    <x v="0"/>
    <x v="0"/>
    <s v="22-02-2026"/>
    <n v="2.8090820312500004"/>
    <n v="20.48"/>
  </r>
  <r>
    <n v="5096"/>
    <x v="26"/>
    <s v="Email"/>
    <s v="Promo Blast"/>
    <n v="333.19"/>
    <n v="667"/>
    <n v="48"/>
    <n v="3859.68"/>
    <x v="10"/>
    <x v="2"/>
    <s v="04-03-2026"/>
    <n v="11.584021129085507"/>
    <n v="6.9414583333333333"/>
  </r>
  <r>
    <n v="5097"/>
    <x v="34"/>
    <s v="Meta Ads"/>
    <s v="Brand Awareness"/>
    <n v="140.03"/>
    <n v="443"/>
    <n v="8"/>
    <n v="210.24"/>
    <x v="5"/>
    <x v="1"/>
    <s v="26-01-2026"/>
    <n v="1.5013925587374135"/>
    <n v="17.50375"/>
  </r>
  <r>
    <n v="5098"/>
    <x v="18"/>
    <s v="Google Ads"/>
    <s v="Display"/>
    <n v="140.59"/>
    <n v="233"/>
    <n v="6"/>
    <n v="454.92"/>
    <x v="4"/>
    <x v="0"/>
    <s v="25-03-2026"/>
    <n v="3.2357920193470373"/>
    <n v="23.431666666666668"/>
  </r>
  <r>
    <n v="5099"/>
    <x v="72"/>
    <s v="Email"/>
    <s v="Welcome Series"/>
    <n v="475.03"/>
    <n v="225"/>
    <n v="20"/>
    <n v="739"/>
    <x v="3"/>
    <x v="2"/>
    <s v="02-05-2026"/>
    <n v="1.5556912195019263"/>
    <n v="23.7515"/>
  </r>
  <r>
    <n v="5100"/>
    <x v="55"/>
    <s v="Google Ads"/>
    <s v="Display"/>
    <n v="56.09"/>
    <n v="440"/>
    <n v="19"/>
    <n v="1308.53"/>
    <x v="4"/>
    <x v="0"/>
    <s v="03-06-2026"/>
    <n v="23.329113924050631"/>
    <n v="2.952105263157895"/>
  </r>
  <r>
    <n v="5101"/>
    <x v="24"/>
    <s v="Google Ads"/>
    <s v="Search - Generic"/>
    <n v="53.07"/>
    <n v="659"/>
    <n v="18"/>
    <n v="1201.32"/>
    <x v="8"/>
    <x v="0"/>
    <s v="26-02-2026"/>
    <n v="22.636517806670433"/>
    <n v="2.9483333333333333"/>
  </r>
  <r>
    <n v="5102"/>
    <x v="65"/>
    <s v="Google Ads"/>
    <s v="Search - Generic"/>
    <n v="396.12"/>
    <n v="245"/>
    <n v="7"/>
    <n v="770.22"/>
    <x v="8"/>
    <x v="0"/>
    <s v="16-04-2026"/>
    <n v="1.9444107846107241"/>
    <n v="56.588571428571427"/>
  </r>
  <r>
    <n v="5103"/>
    <x v="73"/>
    <s v="Meta Ads"/>
    <s v="New Arrivals"/>
    <n v="319.20999999999998"/>
    <n v="97"/>
    <n v="2"/>
    <n v="97.12"/>
    <x v="2"/>
    <x v="1"/>
    <s v="13-03-2026"/>
    <n v="0.30425111995238246"/>
    <n v="159.60499999999999"/>
  </r>
  <r>
    <n v="5104"/>
    <x v="72"/>
    <s v="Email"/>
    <s v="Newsletter"/>
    <n v="54.56"/>
    <n v="310"/>
    <n v="13"/>
    <n v="410.8"/>
    <x v="11"/>
    <x v="2"/>
    <s v="02-05-2026"/>
    <n v="7.5293255131964809"/>
    <n v="4.1969230769230768"/>
  </r>
  <r>
    <n v="5105"/>
    <x v="74"/>
    <s v="Email"/>
    <s v="Newsletter"/>
    <n v="398.28"/>
    <n v="314"/>
    <n v="13"/>
    <n v="910.39"/>
    <x v="11"/>
    <x v="2"/>
    <s v="14-04-2026"/>
    <n v="2.2858039570151654"/>
    <n v="30.636923076923075"/>
  </r>
  <r>
    <n v="5106"/>
    <x v="75"/>
    <s v="Meta Ads"/>
    <s v="Retargeting"/>
    <n v="252.5"/>
    <n v="157"/>
    <n v="3"/>
    <n v="123.09"/>
    <x v="6"/>
    <x v="1"/>
    <s v="09-03-2026"/>
    <n v="0.48748514851485147"/>
    <n v="84.166666666666671"/>
  </r>
  <r>
    <n v="5107"/>
    <x v="71"/>
    <s v="Email"/>
    <s v="Welcome Series"/>
    <n v="221.03"/>
    <n v="401"/>
    <n v="24"/>
    <n v="1593.84"/>
    <x v="3"/>
    <x v="2"/>
    <s v="28-06-2026"/>
    <n v="7.2109668370809388"/>
    <n v="9.2095833333333328"/>
  </r>
  <r>
    <n v="5108"/>
    <x v="37"/>
    <s v="Email"/>
    <s v="Promo Blast"/>
    <n v="36.270000000000003"/>
    <n v="745"/>
    <n v="40"/>
    <n v="1330"/>
    <x v="10"/>
    <x v="2"/>
    <s v="26-03-2026"/>
    <n v="36.669423766197959"/>
    <n v="0.90675000000000006"/>
  </r>
  <r>
    <n v="5109"/>
    <x v="76"/>
    <s v="Google Ads"/>
    <s v="Shopping"/>
    <n v="416.83"/>
    <n v="309"/>
    <n v="10"/>
    <n v="570.9"/>
    <x v="7"/>
    <x v="0"/>
    <s v="23-02-2026"/>
    <n v="1.3696231077417653"/>
    <n v="41.683"/>
  </r>
  <r>
    <n v="5110"/>
    <x v="77"/>
    <s v="Google Ads"/>
    <s v="Search - Generic"/>
    <n v="301.5"/>
    <n v="660"/>
    <n v="15"/>
    <n v="1346.55"/>
    <x v="8"/>
    <x v="0"/>
    <s v="07-05-2026"/>
    <n v="4.4661691542288553"/>
    <n v="20.100000000000001"/>
  </r>
  <r>
    <n v="5111"/>
    <x v="78"/>
    <s v="Meta Ads"/>
    <s v="Retargeting"/>
    <n v="387.67"/>
    <n v="71"/>
    <n v="1"/>
    <n v="84.14"/>
    <x v="6"/>
    <x v="1"/>
    <s v="28-01-2026"/>
    <n v="0.21704026620579359"/>
    <n v="387.67"/>
  </r>
  <r>
    <n v="5112"/>
    <x v="79"/>
    <s v="Meta Ads"/>
    <s v="Summer Sale"/>
    <n v="386.08"/>
    <n v="113"/>
    <n v="2"/>
    <n v="577.65"/>
    <x v="1"/>
    <x v="1"/>
    <s v="24-06-2026"/>
    <n v="1.4961924989639452"/>
    <n v="193.04"/>
  </r>
  <r>
    <n v="5113"/>
    <x v="72"/>
    <s v="Email"/>
    <s v="Welcome Series"/>
    <n v="36.44"/>
    <n v="30"/>
    <n v="1"/>
    <n v="66.709999999999994"/>
    <x v="3"/>
    <x v="2"/>
    <s v="02-05-2026"/>
    <n v="1.8306805708013172"/>
    <n v="36.44"/>
  </r>
  <r>
    <n v="5114"/>
    <x v="80"/>
    <s v="Google Ads"/>
    <s v="Search - Brand"/>
    <n v="205.83"/>
    <n v="616"/>
    <n v="36"/>
    <n v="2442.96"/>
    <x v="0"/>
    <x v="0"/>
    <s v="18-04-2026"/>
    <n v="11.868823786620025"/>
    <n v="5.7175000000000002"/>
  </r>
  <r>
    <n v="5115"/>
    <x v="9"/>
    <s v="Google Ads"/>
    <s v="Search - Brand"/>
    <n v="341.3"/>
    <n v="100"/>
    <n v="2"/>
    <n v="65.78"/>
    <x v="0"/>
    <x v="0"/>
    <s v="08-02-2026"/>
    <n v="0.19273366539701142"/>
    <n v="170.65"/>
  </r>
  <r>
    <n v="5116"/>
    <x v="81"/>
    <s v=" Email "/>
    <s v="Abandoned Cart"/>
    <n v="321.74"/>
    <n v="736"/>
    <n v="44"/>
    <n v="3014.88"/>
    <x v="9"/>
    <x v="2"/>
    <s v="13-01-2026"/>
    <n v="9.3705476471685216"/>
    <n v="7.3122727272727275"/>
  </r>
  <r>
    <n v="5117"/>
    <x v="82"/>
    <s v="Google Ads"/>
    <s v="Shopping"/>
    <n v="479.7"/>
    <n v="508"/>
    <n v="22"/>
    <n v="1002.32"/>
    <x v="7"/>
    <x v="0"/>
    <s v="16-06-2026"/>
    <n v="2.0894725870335629"/>
    <n v="21.804545454545455"/>
  </r>
  <r>
    <n v="5118"/>
    <x v="83"/>
    <s v="Email"/>
    <s v="Abandoned Cart"/>
    <n v="205.15"/>
    <n v="473"/>
    <n v="41"/>
    <n v="3116"/>
    <x v="9"/>
    <x v="2"/>
    <s v="30-01-2026"/>
    <n v="15.188886180843285"/>
    <n v="5.0036585365853661"/>
  </r>
  <r>
    <n v="5119"/>
    <x v="20"/>
    <s v="Email"/>
    <s v="Newsletter"/>
    <n v="168.13"/>
    <n v="448"/>
    <n v="39"/>
    <n v="1599"/>
    <x v="11"/>
    <x v="2"/>
    <s v="06-03-2026"/>
    <n v="9.5104978290608457"/>
    <n v="4.3110256410256413"/>
  </r>
  <r>
    <n v="5120"/>
    <x v="11"/>
    <s v="Google Ads"/>
    <s v="Shopping"/>
    <n v="461.89"/>
    <n v="791"/>
    <n v="43"/>
    <n v="1193.25"/>
    <x v="7"/>
    <x v="0"/>
    <s v="26-06-2026"/>
    <n v="2.5834073047695338"/>
    <n v="10.741627906976744"/>
  </r>
  <r>
    <n v="5121"/>
    <x v="84"/>
    <s v="Google Ads"/>
    <s v="Search - Brand"/>
    <n v="203.23"/>
    <n v="778"/>
    <n v="38"/>
    <n v="3376.3"/>
    <x v="0"/>
    <x v="0"/>
    <s v="21-05-2026"/>
    <n v="16.613196870540769"/>
    <n v="5.3481578947368416"/>
  </r>
  <r>
    <n v="5122"/>
    <x v="42"/>
    <s v="Google Ads"/>
    <s v="Display"/>
    <n v="190.45"/>
    <n v="74"/>
    <n v="2"/>
    <n v="125.34"/>
    <x v="4"/>
    <x v="0"/>
    <s v="31-05-2026"/>
    <n v="0.65812549225518513"/>
    <n v="95.224999999999994"/>
  </r>
  <r>
    <n v="5123"/>
    <x v="47"/>
    <s v="Meta Ads"/>
    <s v="Summer Sale"/>
    <n v="194.16"/>
    <n v="587"/>
    <n v="10"/>
    <n v="756.8"/>
    <x v="1"/>
    <x v="1"/>
    <s v="18-02-2026"/>
    <n v="3.8978162340337863"/>
    <n v="19.416"/>
  </r>
  <r>
    <n v="5124"/>
    <x v="85"/>
    <s v=" Meta Ads "/>
    <s v="Retargeting"/>
    <n v="154.66"/>
    <n v="631"/>
    <n v="6"/>
    <n v="163.08000000000001"/>
    <x v="6"/>
    <x v="1"/>
    <s v="06-04-2026"/>
    <n v="1.054442001810423"/>
    <n v="25.776666666666667"/>
  </r>
  <r>
    <n v="5125"/>
    <x v="73"/>
    <s v="Meta Ads"/>
    <s v="Brand Awareness"/>
    <n v="482.46"/>
    <n v="270"/>
    <n v="4"/>
    <n v="329.14"/>
    <x v="5"/>
    <x v="1"/>
    <s v="13-03-2026"/>
    <n v="0.68221199684947975"/>
    <n v="120.61499999999999"/>
  </r>
  <r>
    <n v="5126"/>
    <x v="17"/>
    <s v="Meta Ads"/>
    <s v="Brand Awareness"/>
    <n v="63.18"/>
    <n v="336"/>
    <n v="7"/>
    <n v="466.48"/>
    <x v="5"/>
    <x v="1"/>
    <s v="28-04-2026"/>
    <n v="7.3833491611269393"/>
    <n v="9.0257142857142849"/>
  </r>
  <r>
    <n v="5127"/>
    <x v="86"/>
    <s v="Meta Ads"/>
    <s v="Summer Sale"/>
    <n v="280.74"/>
    <n v="576"/>
    <n v="16"/>
    <n v="1270.72"/>
    <x v="1"/>
    <x v="1"/>
    <s v="02-03-2026"/>
    <n v="4.5263232884519482"/>
    <n v="17.546250000000001"/>
  </r>
  <r>
    <n v="5128"/>
    <x v="87"/>
    <s v="Meta Ads"/>
    <s v="New Arrivals"/>
    <n v="344.91"/>
    <n v="315"/>
    <n v="6"/>
    <n v="322.08"/>
    <x v="2"/>
    <x v="1"/>
    <s v="15-01-2026"/>
    <n v="0.93380881969209351"/>
    <n v="57.485000000000007"/>
  </r>
  <r>
    <n v="5129"/>
    <x v="88"/>
    <s v="Google Ads"/>
    <s v="Search - Generic"/>
    <n v="279.94"/>
    <n v="489"/>
    <n v="23"/>
    <n v="866.64"/>
    <x v="8"/>
    <x v="0"/>
    <s v="08-04-2026"/>
    <n v="3.0958062441951846"/>
    <n v="12.171304347826087"/>
  </r>
  <r>
    <n v="5130"/>
    <x v="19"/>
    <s v="Meta Ads"/>
    <s v="Brand Awareness"/>
    <n v="237.12"/>
    <n v="357"/>
    <n v="5"/>
    <n v="201"/>
    <x v="5"/>
    <x v="1"/>
    <s v="05-02-2026"/>
    <n v="0.84767206477732793"/>
    <n v="47.423999999999999"/>
  </r>
  <r>
    <n v="5131"/>
    <x v="89"/>
    <s v="Google Ads"/>
    <s v="Search - Generic"/>
    <n v="94.73"/>
    <n v="287"/>
    <n v="12"/>
    <n v="531.36"/>
    <x v="8"/>
    <x v="0"/>
    <s v="26-04-2026"/>
    <n v="5.609205109257891"/>
    <n v="7.894166666666667"/>
  </r>
  <r>
    <n v="5132"/>
    <x v="90"/>
    <s v="Email"/>
    <s v="Abandoned Cart"/>
    <n v="77.209999999999994"/>
    <n v="782"/>
    <n v="32"/>
    <n v="1557.76"/>
    <x v="9"/>
    <x v="2"/>
    <s v="09-02-2026"/>
    <n v="20.175624919051938"/>
    <n v="2.4128124999999998"/>
  </r>
  <r>
    <n v="5133"/>
    <x v="91"/>
    <s v="Email"/>
    <s v="Welcome Series"/>
    <n v="268.39"/>
    <n v="529"/>
    <n v="26"/>
    <n v="886.86"/>
    <x v="3"/>
    <x v="2"/>
    <s v="11-02-2026"/>
    <n v="3.3043705056075119"/>
    <n v="10.322692307692307"/>
  </r>
  <r>
    <n v="5134"/>
    <x v="92"/>
    <s v="Google Ads"/>
    <s v="Search - Generic"/>
    <n v="389.81"/>
    <n v="738"/>
    <n v="19"/>
    <n v="1216.76"/>
    <x v="8"/>
    <x v="0"/>
    <s v="15-04-2026"/>
    <n v="3.1214181267797132"/>
    <n v="20.516315789473683"/>
  </r>
  <r>
    <n v="5135"/>
    <x v="19"/>
    <s v=" Email "/>
    <s v="Welcome Series"/>
    <n v="371.7"/>
    <n v="427"/>
    <n v="34"/>
    <n v="2875.04"/>
    <x v="3"/>
    <x v="2"/>
    <s v="05-02-2026"/>
    <n v="7.7348399246704336"/>
    <n v="10.93235294117647"/>
  </r>
  <r>
    <n v="5136"/>
    <x v="32"/>
    <s v="Google Ads"/>
    <s v="Display"/>
    <n v="139.19999999999999"/>
    <n v="586"/>
    <n v="31"/>
    <n v="816.2"/>
    <x v="4"/>
    <x v="0"/>
    <s v="24-01-2026"/>
    <n v="5.863505747126438"/>
    <n v="4.4903225806451612"/>
  </r>
  <r>
    <n v="5137"/>
    <x v="93"/>
    <s v="Meta Ads"/>
    <s v="New Arrivals"/>
    <n v="435.43"/>
    <n v="338"/>
    <n v="8"/>
    <n v="651.44000000000005"/>
    <x v="2"/>
    <x v="1"/>
    <s v="25-04-2026"/>
    <n v="1.4960843304319869"/>
    <n v="54.428750000000001"/>
  </r>
  <r>
    <n v="5138"/>
    <x v="93"/>
    <s v="Email"/>
    <s v="Abandoned Cart"/>
    <n v="484.36"/>
    <n v="239"/>
    <n v="16"/>
    <n v="1441.82"/>
    <x v="9"/>
    <x v="2"/>
    <s v="25-04-2026"/>
    <n v="2.9767528284746883"/>
    <n v="30.272500000000001"/>
  </r>
  <r>
    <n v="5139"/>
    <x v="45"/>
    <s v="Meta Ads"/>
    <s v="Brand Awareness"/>
    <n v="69.37"/>
    <n v="106"/>
    <n v="2"/>
    <n v="55.88"/>
    <x v="5"/>
    <x v="1"/>
    <s v="19-02-2026"/>
    <n v="0.80553553409254719"/>
    <n v="34.685000000000002"/>
  </r>
  <r>
    <n v="5140"/>
    <x v="74"/>
    <s v="Email"/>
    <s v="Abandoned Cart"/>
    <n v="251.37"/>
    <n v="774"/>
    <n v="41"/>
    <n v="3551.83"/>
    <x v="9"/>
    <x v="2"/>
    <s v="14-04-2026"/>
    <n v="14.129888212594979"/>
    <n v="6.1309756097560975"/>
  </r>
  <r>
    <n v="5141"/>
    <x v="94"/>
    <s v="Meta Ads"/>
    <s v="New Arrivals"/>
    <n v="180.84"/>
    <n v="456"/>
    <n v="12"/>
    <n v="740.28"/>
    <x v="2"/>
    <x v="1"/>
    <s v="10-01-2026"/>
    <n v="4.0935633709356338"/>
    <n v="15.07"/>
  </r>
  <r>
    <n v="5142"/>
    <x v="95"/>
    <s v=" Meta Ads "/>
    <s v="Brand Awareness"/>
    <n v="72.33"/>
    <n v="268"/>
    <n v="2"/>
    <n v="106.3"/>
    <x v="5"/>
    <x v="1"/>
    <s v="07-02-2026"/>
    <n v="1.4696529793999724"/>
    <n v="36.164999999999999"/>
  </r>
  <r>
    <n v="5143"/>
    <x v="96"/>
    <s v="Meta Ads"/>
    <s v="Summer Sale"/>
    <n v="460.61"/>
    <n v="648"/>
    <n v="10"/>
    <n v="602.5"/>
    <x v="1"/>
    <x v="1"/>
    <s v="27-04-2026"/>
    <n v="1.308048023273485"/>
    <n v="46.061"/>
  </r>
  <r>
    <n v="5144"/>
    <x v="97"/>
    <s v="Meta Ads"/>
    <s v="New Arrivals"/>
    <n v="48.96"/>
    <n v="536"/>
    <n v="15"/>
    <n v="457.35"/>
    <x v="2"/>
    <x v="1"/>
    <s v="11-01-2026"/>
    <n v="9.3412990196078436"/>
    <n v="3.2640000000000002"/>
  </r>
  <r>
    <n v="5145"/>
    <x v="92"/>
    <s v="Google Ads"/>
    <s v="Search - Generic"/>
    <n v="157.84"/>
    <n v="475"/>
    <n v="21"/>
    <n v="1303.26"/>
    <x v="8"/>
    <x v="0"/>
    <s v="15-04-2026"/>
    <n v="8.2568423720223016"/>
    <n v="7.5161904761904763"/>
  </r>
  <r>
    <n v="5146"/>
    <x v="12"/>
    <s v="Google Ads"/>
    <s v="Shopping"/>
    <n v="180.16"/>
    <n v="479"/>
    <n v="8"/>
    <n v="399.28"/>
    <x v="7"/>
    <x v="0"/>
    <s v="06-06-2026"/>
    <n v="2.2162522202486676"/>
    <n v="22.52"/>
  </r>
  <r>
    <n v="5147"/>
    <x v="98"/>
    <s v="Google Ads"/>
    <s v="Shopping"/>
    <n v="161.84"/>
    <n v="800"/>
    <n v="16"/>
    <n v="973.12"/>
    <x v="7"/>
    <x v="0"/>
    <s v="23-01-2026"/>
    <n v="6.0128521997034108"/>
    <n v="10.115"/>
  </r>
  <r>
    <n v="5148"/>
    <x v="99"/>
    <s v="Email"/>
    <s v="Abandoned Cart"/>
    <n v="468.3"/>
    <n v="436"/>
    <n v="21"/>
    <n v="1006.11"/>
    <x v="9"/>
    <x v="2"/>
    <s v="01-04-2026"/>
    <n v="2.1484304932735427"/>
    <n v="22.3"/>
  </r>
  <r>
    <n v="5149"/>
    <x v="19"/>
    <s v="Email"/>
    <s v="Abandoned Cart"/>
    <n v="217"/>
    <n v="573"/>
    <n v="37"/>
    <n v="2122.3200000000002"/>
    <x v="9"/>
    <x v="2"/>
    <s v="05-02-2026"/>
    <n v="9.7802764976958532"/>
    <n v="5.8648648648648649"/>
  </r>
  <r>
    <n v="5150"/>
    <x v="100"/>
    <s v="Google Ads"/>
    <s v="Display"/>
    <n v="189.26"/>
    <n v="371"/>
    <n v="13"/>
    <n v="794.3"/>
    <x v="4"/>
    <x v="0"/>
    <s v="05-06-2026"/>
    <n v="4.1968720278981291"/>
    <n v="14.558461538461538"/>
  </r>
  <r>
    <n v="5151"/>
    <x v="101"/>
    <s v="Meta Ads"/>
    <s v="New Arrivals"/>
    <n v="200.96"/>
    <n v="247"/>
    <n v="2"/>
    <n v="169.62"/>
    <x v="2"/>
    <x v="1"/>
    <s v="24-04-2026"/>
    <n v="0.84404856687898089"/>
    <n v="100.48"/>
  </r>
  <r>
    <n v="5152"/>
    <x v="38"/>
    <s v="Meta Ads"/>
    <s v="Summer Sale"/>
    <n v="163.91"/>
    <n v="559"/>
    <n v="14"/>
    <n v="840"/>
    <x v="1"/>
    <x v="1"/>
    <s v="20-04-2026"/>
    <n v="5.1247635897748767"/>
    <n v="11.707857142857142"/>
  </r>
  <r>
    <n v="5153"/>
    <x v="31"/>
    <s v=" Email "/>
    <s v="Welcome Series"/>
    <n v="52.77"/>
    <n v="244"/>
    <n v="8"/>
    <n v="394.72"/>
    <x v="3"/>
    <x v="2"/>
    <s v="02-04-2026"/>
    <n v="7.4800075800644308"/>
    <n v="6.5962500000000004"/>
  </r>
  <r>
    <n v="5154"/>
    <x v="102"/>
    <s v="Google Ads"/>
    <s v="Shopping"/>
    <n v="64.28"/>
    <n v="381"/>
    <n v="12"/>
    <n v="1063.2"/>
    <x v="7"/>
    <x v="0"/>
    <s v="05-05-2026"/>
    <n v="16.54013690105787"/>
    <n v="5.3566666666666665"/>
  </r>
  <r>
    <n v="5155"/>
    <x v="103"/>
    <s v="Email"/>
    <s v="Abandoned Cart"/>
    <n v="119.74"/>
    <n v="202"/>
    <n v="11"/>
    <n v="318.01"/>
    <x v="9"/>
    <x v="2"/>
    <s v="11-05-2026"/>
    <n v="2.6558376482378487"/>
    <n v="10.885454545454545"/>
  </r>
  <r>
    <n v="5156"/>
    <x v="28"/>
    <s v="Meta Ads"/>
    <s v="Summer Sale"/>
    <n v="280.74"/>
    <n v="447"/>
    <n v="5"/>
    <n v="157"/>
    <x v="1"/>
    <x v="1"/>
    <s v="27-06-2026"/>
    <n v="0.55923630405357272"/>
    <n v="56.148000000000003"/>
  </r>
  <r>
    <n v="5157"/>
    <x v="70"/>
    <s v="Email"/>
    <s v="Abandoned Cart"/>
    <n v="95.25"/>
    <n v="787"/>
    <n v="47"/>
    <n v="1263.83"/>
    <x v="9"/>
    <x v="2"/>
    <s v="15-06-2026"/>
    <n v="13.268556430446193"/>
    <n v="2.0265957446808511"/>
  </r>
  <r>
    <n v="5158"/>
    <x v="1"/>
    <s v="Email"/>
    <s v="Welcome Series"/>
    <n v="152.21"/>
    <n v="43"/>
    <n v="1"/>
    <n v="31.46"/>
    <x v="3"/>
    <x v="2"/>
    <s v="16-01-2026"/>
    <n v="0.20668812824387359"/>
    <n v="152.21"/>
  </r>
  <r>
    <n v="5159"/>
    <x v="104"/>
    <s v="Google Ads"/>
    <s v="Search - Brand"/>
    <n v="139.68"/>
    <n v="384"/>
    <n v="1"/>
    <n v="63.15"/>
    <x v="0"/>
    <x v="0"/>
    <s v="14-01-2026"/>
    <n v="0.45210481099656352"/>
    <n v="139.68"/>
  </r>
  <r>
    <n v="5160"/>
    <x v="20"/>
    <s v="Meta Ads"/>
    <s v="Retargeting"/>
    <n v="300.70999999999998"/>
    <n v="433"/>
    <n v="7"/>
    <n v="573.29999999999995"/>
    <x v="6"/>
    <x v="1"/>
    <s v="06-03-2026"/>
    <n v="1.9064879784509994"/>
    <n v="42.958571428571425"/>
  </r>
  <r>
    <n v="5161"/>
    <x v="105"/>
    <s v="Google Ads"/>
    <s v="Display"/>
    <n v="276.2"/>
    <n v="404"/>
    <n v="13"/>
    <n v="875.29"/>
    <x v="4"/>
    <x v="0"/>
    <s v="17-02-2026"/>
    <n v="3.1690441708906589"/>
    <n v="21.246153846153845"/>
  </r>
  <r>
    <n v="5162"/>
    <x v="10"/>
    <s v="Google Ads"/>
    <s v="Search - Generic"/>
    <n v="32.14"/>
    <n v="169"/>
    <n v="5"/>
    <n v="167.2"/>
    <x v="8"/>
    <x v="0"/>
    <s v="30-04-2026"/>
    <n v="5.202240199128811"/>
    <n v="6.4279999999999999"/>
  </r>
  <r>
    <n v="5163"/>
    <x v="106"/>
    <s v="Google Ads"/>
    <s v="Shopping"/>
    <n v="322.08"/>
    <n v="604"/>
    <n v="17"/>
    <n v="1475.77"/>
    <x v="7"/>
    <x v="0"/>
    <s v="03-03-2026"/>
    <n v="4.58199826130154"/>
    <n v="18.945882352941176"/>
  </r>
  <r>
    <n v="5164"/>
    <x v="107"/>
    <s v="Email"/>
    <s v="Welcome Series"/>
    <n v="264.89"/>
    <n v="138"/>
    <n v="11"/>
    <n v="362.78"/>
    <x v="3"/>
    <x v="2"/>
    <s v="08-03-2026"/>
    <n v="1.369549624372381"/>
    <n v="24.080909090909088"/>
  </r>
  <r>
    <n v="5165"/>
    <x v="108"/>
    <s v=" Google Ads "/>
    <s v="Search - Brand"/>
    <n v="104.98"/>
    <n v="247"/>
    <n v="8"/>
    <n v="544.64"/>
    <x v="0"/>
    <x v="0"/>
    <s v="18-06-2026"/>
    <n v="5.1880358163459706"/>
    <n v="13.1225"/>
  </r>
  <r>
    <n v="5166"/>
    <x v="89"/>
    <s v="Meta Ads"/>
    <s v="Retargeting"/>
    <n v="211.51"/>
    <n v="374"/>
    <n v="6"/>
    <n v="504.48"/>
    <x v="6"/>
    <x v="1"/>
    <s v="26-04-2026"/>
    <n v="2.3851354545884358"/>
    <n v="35.251666666666665"/>
  </r>
  <r>
    <n v="5167"/>
    <x v="49"/>
    <s v=" Email "/>
    <s v="Welcome Series"/>
    <n v="357.82"/>
    <n v="483"/>
    <n v="21"/>
    <n v="1680.84"/>
    <x v="3"/>
    <x v="2"/>
    <s v="08-01-2026"/>
    <n v="4.6974456430607567"/>
    <n v="17.039047619047619"/>
  </r>
  <r>
    <n v="5168"/>
    <x v="24"/>
    <s v="Google Ads"/>
    <s v="Search - Brand"/>
    <n v="383.34"/>
    <n v="169"/>
    <n v="5"/>
    <n v="137.75"/>
    <x v="0"/>
    <x v="0"/>
    <s v="26-02-2026"/>
    <n v="0.35934157666823185"/>
    <n v="76.667999999999992"/>
  </r>
  <r>
    <n v="5169"/>
    <x v="109"/>
    <s v="Google Ads"/>
    <s v="Shopping"/>
    <n v="386.58"/>
    <n v="681"/>
    <n v="21"/>
    <n v="583.59"/>
    <x v="7"/>
    <x v="0"/>
    <s v="14-05-2026"/>
    <n v="1.5096228465000778"/>
    <n v="18.408571428571427"/>
  </r>
  <r>
    <n v="5170"/>
    <x v="21"/>
    <s v="Google Ads"/>
    <s v="Search - Brand"/>
    <n v="499.09"/>
    <n v="640"/>
    <n v="34"/>
    <n v="1471.52"/>
    <x v="0"/>
    <x v="0"/>
    <s v="23-03-2026"/>
    <n v="2.9484060991003629"/>
    <n v="14.679117647058822"/>
  </r>
  <r>
    <n v="5171"/>
    <x v="11"/>
    <s v="Email"/>
    <s v="Newsletter"/>
    <n v="343.1"/>
    <n v="140"/>
    <n v="8"/>
    <n v="298.39999999999998"/>
    <x v="11"/>
    <x v="2"/>
    <s v="26-06-2026"/>
    <n v="0.8697172835907897"/>
    <n v="42.887500000000003"/>
  </r>
  <r>
    <n v="5172"/>
    <x v="110"/>
    <s v=" Email "/>
    <s v="Welcome Series"/>
    <n v="191.76"/>
    <n v="431"/>
    <n v="15"/>
    <n v="995.55"/>
    <x v="3"/>
    <x v="2"/>
    <s v="13-06-2026"/>
    <n v="5.1916458072590741"/>
    <n v="12.783999999999999"/>
  </r>
  <r>
    <n v="5173"/>
    <x v="111"/>
    <s v="Meta Ads"/>
    <s v="New Arrivals"/>
    <n v="359.7"/>
    <n v="611"/>
    <n v="12"/>
    <n v="560.16"/>
    <x v="2"/>
    <x v="1"/>
    <s v="02-01-2026"/>
    <n v="1.5572977481234362"/>
    <n v="29.974999999999998"/>
  </r>
  <r>
    <n v="5174"/>
    <x v="55"/>
    <s v="Google Ads"/>
    <s v="Search - Generic"/>
    <n v="193.03"/>
    <n v="221"/>
    <n v="4"/>
    <n v="332.92"/>
    <x v="8"/>
    <x v="0"/>
    <s v="03-06-2026"/>
    <n v="1.7247060042480444"/>
    <n v="48.2575"/>
  </r>
  <r>
    <n v="5175"/>
    <x v="101"/>
    <s v="Email"/>
    <s v="Welcome Series"/>
    <n v="41.88"/>
    <n v="489"/>
    <n v="43"/>
    <n v="3172.54"/>
    <x v="3"/>
    <x v="2"/>
    <s v="24-04-2026"/>
    <n v="75.753104106972302"/>
    <n v="0.97395348837209306"/>
  </r>
  <r>
    <n v="5176"/>
    <x v="112"/>
    <s v="Google Ads"/>
    <s v="Search - Generic"/>
    <n v="192.46"/>
    <n v="103"/>
    <n v="4"/>
    <n v="263.2"/>
    <x v="8"/>
    <x v="0"/>
    <s v="06-05-2026"/>
    <n v="1.3675568949392081"/>
    <n v="48.115000000000002"/>
  </r>
  <r>
    <n v="5177"/>
    <x v="49"/>
    <s v="Google Ads"/>
    <s v="Search - Generic"/>
    <n v="326.29000000000002"/>
    <n v="708"/>
    <n v="18"/>
    <n v="1368"/>
    <x v="8"/>
    <x v="0"/>
    <s v="08-01-2026"/>
    <n v="4.1925894143246802"/>
    <n v="18.127222222222223"/>
  </r>
  <r>
    <n v="5178"/>
    <x v="21"/>
    <s v="Google Ads"/>
    <s v="Search - Generic"/>
    <n v="419.07"/>
    <n v="255"/>
    <n v="5"/>
    <n v="159.85"/>
    <x v="8"/>
    <x v="0"/>
    <s v="23-03-2026"/>
    <n v="0.38143985491683968"/>
    <n v="83.813999999999993"/>
  </r>
  <r>
    <n v="5179"/>
    <x v="41"/>
    <s v="Google Ads"/>
    <s v="Display"/>
    <n v="309.26"/>
    <n v="651"/>
    <n v="15"/>
    <n v="1045.8"/>
    <x v="4"/>
    <x v="0"/>
    <s v="25-02-2026"/>
    <n v="3.3816206428248075"/>
    <n v="20.617333333333331"/>
  </r>
  <r>
    <n v="5180"/>
    <x v="113"/>
    <s v=" Meta Ads "/>
    <s v="Retargeting"/>
    <n v="423.6"/>
    <n v="533"/>
    <n v="9"/>
    <n v="390.69"/>
    <x v="6"/>
    <x v="1"/>
    <s v="23-04-2026"/>
    <n v="0.92230878186968834"/>
    <n v="47.06666666666667"/>
  </r>
  <r>
    <n v="5181"/>
    <x v="114"/>
    <s v=" Email "/>
    <s v="Abandoned Cart"/>
    <n v="406"/>
    <n v="701"/>
    <n v="35"/>
    <n v="1319.5"/>
    <x v="9"/>
    <x v="2"/>
    <s v="20-06-2026"/>
    <n v="3.25"/>
    <n v="11.6"/>
  </r>
  <r>
    <n v="5182"/>
    <x v="90"/>
    <s v=" Email "/>
    <s v="Newsletter"/>
    <n v="344.69"/>
    <n v="633"/>
    <n v="43"/>
    <n v="2654.39"/>
    <x v="11"/>
    <x v="2"/>
    <s v="09-02-2026"/>
    <n v="7.7008036206446366"/>
    <n v="8.0160465116279074"/>
  </r>
  <r>
    <n v="5183"/>
    <x v="115"/>
    <s v="Meta Ads"/>
    <s v="Retargeting"/>
    <n v="60.9"/>
    <n v="686"/>
    <n v="14"/>
    <n v="854.98"/>
    <x v="6"/>
    <x v="1"/>
    <s v="16-05-2026"/>
    <n v="14.039080459770116"/>
    <n v="4.3499999999999996"/>
  </r>
  <r>
    <n v="5184"/>
    <x v="22"/>
    <s v="Meta Ads"/>
    <s v="Summer Sale"/>
    <n v="331.84"/>
    <n v="202"/>
    <n v="4"/>
    <n v="165.4"/>
    <x v="1"/>
    <x v="1"/>
    <s v="28-02-2026"/>
    <n v="0.49843297974927681"/>
    <n v="82.96"/>
  </r>
  <r>
    <n v="5185"/>
    <x v="8"/>
    <s v="Google Ads"/>
    <s v="Search - Brand"/>
    <n v="261.5"/>
    <n v="529"/>
    <n v="25"/>
    <n v="1855"/>
    <x v="0"/>
    <x v="0"/>
    <s v="12-05-2026"/>
    <n v="7.0936902485659656"/>
    <n v="10.46"/>
  </r>
  <r>
    <n v="5186"/>
    <x v="46"/>
    <s v="Meta Ads"/>
    <s v="Brand Awareness"/>
    <n v="226.86"/>
    <n v="68"/>
    <n v="1"/>
    <n v="28.07"/>
    <x v="5"/>
    <x v="1"/>
    <s v="11-04-2026"/>
    <n v="0.1237326985806224"/>
    <n v="226.86"/>
  </r>
  <r>
    <n v="5187"/>
    <x v="116"/>
    <s v="Meta Ads"/>
    <s v="Retargeting"/>
    <n v="437.97"/>
    <n v="182"/>
    <n v="7"/>
    <n v="239.1"/>
    <x v="6"/>
    <x v="1"/>
    <s v="04-02-2026"/>
    <n v="0.54592780327419677"/>
    <n v="62.567142857142862"/>
  </r>
  <r>
    <n v="5188"/>
    <x v="8"/>
    <s v="Email"/>
    <s v="Promo Blast"/>
    <n v="309.82"/>
    <n v="112"/>
    <n v="5"/>
    <n v="231.4"/>
    <x v="10"/>
    <x v="2"/>
    <s v="12-05-2026"/>
    <n v="0.74688528823187661"/>
    <n v="61.963999999999999"/>
  </r>
  <r>
    <n v="5189"/>
    <x v="28"/>
    <s v=" Meta Ads "/>
    <s v="Brand Awareness"/>
    <n v="73"/>
    <n v="274"/>
    <n v="3"/>
    <n v="183.09"/>
    <x v="5"/>
    <x v="1"/>
    <s v="27-06-2026"/>
    <n v="2.5080821917808218"/>
    <n v="24.333333333333332"/>
  </r>
  <r>
    <n v="5190"/>
    <x v="63"/>
    <s v="Google Ads"/>
    <s v="Search - Brand"/>
    <n v="497.35"/>
    <n v="508"/>
    <n v="20"/>
    <n v="1635"/>
    <x v="0"/>
    <x v="0"/>
    <s v="18-05-2026"/>
    <n v="3.2874233437217248"/>
    <n v="24.8675"/>
  </r>
  <r>
    <n v="5191"/>
    <x v="46"/>
    <s v="Meta Ads"/>
    <s v="Brand Awareness"/>
    <n v="313.20999999999998"/>
    <n v="87"/>
    <n v="1"/>
    <n v="59.34"/>
    <x v="5"/>
    <x v="1"/>
    <s v="11-04-2026"/>
    <n v="0.18945755244085441"/>
    <n v="313.20999999999998"/>
  </r>
  <r>
    <n v="5192"/>
    <x v="10"/>
    <s v="Email"/>
    <s v="Promo Blast"/>
    <n v="22.87"/>
    <n v="603"/>
    <n v="35"/>
    <n v="1390.55"/>
    <x v="10"/>
    <x v="2"/>
    <s v="30-04-2026"/>
    <n v="60.802361171840836"/>
    <n v="0.65342857142857147"/>
  </r>
  <r>
    <n v="5193"/>
    <x v="52"/>
    <s v="Google Ads"/>
    <s v="Shopping"/>
    <n v="495.85"/>
    <n v="375"/>
    <n v="18"/>
    <n v="949.28"/>
    <x v="7"/>
    <x v="0"/>
    <s v="02-06-2026"/>
    <n v="1.9144499344559844"/>
    <n v="27.547222222222224"/>
  </r>
  <r>
    <n v="5194"/>
    <x v="68"/>
    <s v="Email"/>
    <s v="Newsletter"/>
    <n v="401.75"/>
    <n v="154"/>
    <n v="10"/>
    <n v="447.6"/>
    <x v="11"/>
    <x v="2"/>
    <s v="21-02-2026"/>
    <n v="1.1141257000622278"/>
    <n v="40.174999999999997"/>
  </r>
  <r>
    <n v="5195"/>
    <x v="84"/>
    <s v="Google Ads"/>
    <s v="Search - Brand"/>
    <n v="444.16"/>
    <n v="503"/>
    <n v="20"/>
    <n v="1662.4"/>
    <x v="0"/>
    <x v="0"/>
    <s v="21-05-2026"/>
    <n v="3.7427953890489913"/>
    <n v="22.208000000000002"/>
  </r>
  <r>
    <n v="5196"/>
    <x v="4"/>
    <s v="Google Ads"/>
    <s v="Display"/>
    <n v="466.15"/>
    <n v="610"/>
    <n v="13"/>
    <n v="579.79999999999995"/>
    <x v="4"/>
    <x v="0"/>
    <s v="21-06-2026"/>
    <n v="1.2438056419607422"/>
    <n v="35.857692307692304"/>
  </r>
  <r>
    <n v="5197"/>
    <x v="47"/>
    <s v="Email"/>
    <s v="Abandoned Cart"/>
    <n v="244.58"/>
    <n v="716"/>
    <n v="39"/>
    <n v="3176.16"/>
    <x v="9"/>
    <x v="2"/>
    <s v="18-02-2026"/>
    <n v="12.98618039087415"/>
    <n v="6.2712820512820517"/>
  </r>
  <r>
    <n v="5198"/>
    <x v="40"/>
    <s v=" Email "/>
    <s v="Welcome Series"/>
    <n v="42.89"/>
    <n v="468"/>
    <n v="19"/>
    <n v="1219.6099999999999"/>
    <x v="3"/>
    <x v="2"/>
    <s v="06-01-2026"/>
    <n v="28.435765912800182"/>
    <n v="2.2573684210526315"/>
  </r>
  <r>
    <n v="5199"/>
    <x v="55"/>
    <s v="Meta Ads"/>
    <s v="Summer Sale"/>
    <n v="183.76"/>
    <n v="447"/>
    <n v="1"/>
    <n v="577.65"/>
    <x v="1"/>
    <x v="1"/>
    <s v="03-06-2026"/>
    <n v="3.143502394427514"/>
    <n v="183.76"/>
  </r>
  <r>
    <n v="5200"/>
    <x v="117"/>
    <s v="Google Ads"/>
    <s v="Shopping"/>
    <n v="402.21"/>
    <n v="99"/>
    <n v="4"/>
    <n v="186.96"/>
    <x v="7"/>
    <x v="0"/>
    <s v="07-01-2026"/>
    <n v="0.46483180428134563"/>
    <n v="100.55249999999999"/>
  </r>
  <r>
    <n v="5201"/>
    <x v="21"/>
    <s v="Meta Ads"/>
    <s v="Brand Awareness"/>
    <n v="178"/>
    <n v="105"/>
    <n v="1"/>
    <n v="38.68"/>
    <x v="5"/>
    <x v="1"/>
    <s v="23-03-2026"/>
    <n v="0.21730337078651685"/>
    <n v="178"/>
  </r>
  <r>
    <n v="5202"/>
    <x v="79"/>
    <s v="Email"/>
    <s v="Welcome Series"/>
    <n v="410.46"/>
    <n v="499"/>
    <n v="37"/>
    <n v="2791.28"/>
    <x v="3"/>
    <x v="2"/>
    <s v="24-06-2026"/>
    <n v="6.8003703162305715"/>
    <n v="11.093513513513512"/>
  </r>
  <r>
    <n v="5203"/>
    <x v="109"/>
    <s v="Meta Ads"/>
    <s v="New Arrivals"/>
    <n v="248.37"/>
    <n v="681"/>
    <n v="17"/>
    <n v="1504.5"/>
    <x v="2"/>
    <x v="1"/>
    <s v="14-05-2026"/>
    <n v="6.0574948665297743"/>
    <n v="14.61"/>
  </r>
  <r>
    <n v="5204"/>
    <x v="118"/>
    <s v="Meta Ads"/>
    <s v="Summer Sale"/>
    <n v="393.14"/>
    <n v="275"/>
    <n v="7"/>
    <n v="341.32"/>
    <x v="1"/>
    <x v="1"/>
    <s v="09-06-2026"/>
    <n v="0.86818944905122863"/>
    <n v="56.162857142857142"/>
  </r>
  <r>
    <n v="5205"/>
    <x v="49"/>
    <s v="Email"/>
    <s v="Abandoned Cart"/>
    <n v="122.3"/>
    <n v="362"/>
    <n v="25"/>
    <n v="1508.7"/>
    <x v="9"/>
    <x v="2"/>
    <s v="08-01-2026"/>
    <n v="12.336058871627147"/>
    <n v="4.8919999999999995"/>
  </r>
  <r>
    <n v="5206"/>
    <x v="70"/>
    <s v="Email"/>
    <s v="Welcome Series"/>
    <n v="290.82"/>
    <n v="429"/>
    <n v="23"/>
    <n v="1428.44"/>
    <x v="3"/>
    <x v="2"/>
    <s v="15-06-2026"/>
    <n v="4.9117667285606217"/>
    <n v="12.644347826086957"/>
  </r>
  <r>
    <n v="5207"/>
    <x v="106"/>
    <s v="Google Ads"/>
    <s v="Search - Generic"/>
    <n v="153.77000000000001"/>
    <n v="520"/>
    <n v="14"/>
    <n v="868.28"/>
    <x v="8"/>
    <x v="0"/>
    <s v="03-03-2026"/>
    <n v="5.6466150744618577"/>
    <n v="10.983571428571429"/>
  </r>
  <r>
    <n v="5208"/>
    <x v="119"/>
    <s v="Meta Ads"/>
    <s v="New Arrivals"/>
    <n v="438.61"/>
    <n v="265"/>
    <n v="3"/>
    <n v="208.14"/>
    <x v="2"/>
    <x v="1"/>
    <s v="18-03-2026"/>
    <n v="0.47454458402681193"/>
    <n v="146.20333333333335"/>
  </r>
  <r>
    <n v="5209"/>
    <x v="120"/>
    <s v="Google Ads"/>
    <s v="Search - Generic"/>
    <n v="469.38"/>
    <n v="399"/>
    <n v="14"/>
    <n v="451.5"/>
    <x v="8"/>
    <x v="0"/>
    <s v="03-04-2026"/>
    <n v="0.96190719672759817"/>
    <n v="33.527142857142856"/>
  </r>
  <r>
    <n v="5210"/>
    <x v="121"/>
    <s v="Google Ads"/>
    <s v="Display"/>
    <n v="182.98"/>
    <n v="691"/>
    <n v="33"/>
    <n v="2716.89"/>
    <x v="4"/>
    <x v="0"/>
    <s v="25-01-2026"/>
    <n v="14.848016176631326"/>
    <n v="5.5448484848484849"/>
  </r>
  <r>
    <n v="5211"/>
    <x v="94"/>
    <s v="Email"/>
    <s v="Abandoned Cart"/>
    <n v="369.68"/>
    <n v="59"/>
    <n v="5"/>
    <n v="227.85"/>
    <x v="9"/>
    <x v="2"/>
    <s v="10-01-2026"/>
    <n v="0.61634386496429339"/>
    <n v="73.936000000000007"/>
  </r>
  <r>
    <n v="5212"/>
    <x v="7"/>
    <s v="Email"/>
    <s v="Abandoned Cart"/>
    <n v="496.83"/>
    <n v="552"/>
    <n v="28"/>
    <n v="1603.28"/>
    <x v="9"/>
    <x v="2"/>
    <s v="15-02-2026"/>
    <n v="3.2270193023770708"/>
    <n v="17.743928571428572"/>
  </r>
  <r>
    <n v="5213"/>
    <x v="1"/>
    <s v="Email"/>
    <s v="Abandoned Cart"/>
    <n v="149.12"/>
    <n v="54"/>
    <n v="2"/>
    <n v="56.22"/>
    <x v="9"/>
    <x v="2"/>
    <s v="16-01-2026"/>
    <n v="0.3770118025751073"/>
    <n v="74.56"/>
  </r>
  <r>
    <n v="5214"/>
    <x v="96"/>
    <s v="Email"/>
    <s v="Welcome Series"/>
    <n v="439.56"/>
    <n v="744"/>
    <n v="34"/>
    <n v="1782.62"/>
    <x v="3"/>
    <x v="2"/>
    <s v="27-04-2026"/>
    <n v="4.055464555464555"/>
    <n v="12.928235294117647"/>
  </r>
  <r>
    <n v="5215"/>
    <x v="59"/>
    <s v="Meta Ads"/>
    <s v="New Arrivals"/>
    <n v="495.69"/>
    <n v="213"/>
    <n v="4"/>
    <n v="122.56"/>
    <x v="2"/>
    <x v="1"/>
    <s v="06-02-2026"/>
    <n v="0.24725130625996086"/>
    <n v="123.9225"/>
  </r>
  <r>
    <n v="5216"/>
    <x v="122"/>
    <s v="Email"/>
    <s v="Welcome Series"/>
    <n v="247.27"/>
    <n v="672"/>
    <n v="54"/>
    <n v="3140.64"/>
    <x v="3"/>
    <x v="2"/>
    <s v="25-06-2026"/>
    <n v="12.701257734460306"/>
    <n v="4.5790740740740743"/>
  </r>
  <r>
    <n v="5217"/>
    <x v="123"/>
    <s v="Email"/>
    <s v="Newsletter"/>
    <n v="314.14999999999998"/>
    <n v="703"/>
    <n v="55"/>
    <n v="1632.4"/>
    <x v="11"/>
    <x v="2"/>
    <s v="07-04-2026"/>
    <n v="5.1962438325640621"/>
    <n v="5.711818181818181"/>
  </r>
  <r>
    <n v="5218"/>
    <x v="19"/>
    <s v="Email"/>
    <s v="Promo Blast"/>
    <n v="51.61"/>
    <n v="785"/>
    <n v="48"/>
    <n v="2834.88"/>
    <x v="10"/>
    <x v="2"/>
    <s v="05-02-2026"/>
    <n v="54.928889750048441"/>
    <n v="1.0752083333333333"/>
  </r>
  <r>
    <n v="5219"/>
    <x v="17"/>
    <s v="Email"/>
    <s v="Newsletter"/>
    <n v="434.53"/>
    <n v="448"/>
    <n v="16"/>
    <n v="560"/>
    <x v="11"/>
    <x v="2"/>
    <s v="28-04-2026"/>
    <n v="1.2887487630313212"/>
    <n v="27.158124999999998"/>
  </r>
  <r>
    <n v="5220"/>
    <x v="89"/>
    <s v="Google Ads"/>
    <s v="Display"/>
    <n v="73.66"/>
    <n v="659"/>
    <n v="25"/>
    <n v="1922.25"/>
    <x v="4"/>
    <x v="0"/>
    <s v="26-04-2026"/>
    <n v="26.096253054575076"/>
    <n v="2.9463999999999997"/>
  </r>
  <r>
    <n v="5221"/>
    <x v="124"/>
    <s v="Email"/>
    <s v="Welcome Series"/>
    <n v="286.98"/>
    <n v="10"/>
    <n v="0"/>
    <n v="0"/>
    <x v="3"/>
    <x v="2"/>
    <s v="03-02-2026"/>
    <n v="0"/>
    <n v="0"/>
  </r>
  <r>
    <n v="5222"/>
    <x v="113"/>
    <s v="Email"/>
    <s v="Promo Blast"/>
    <n v="191.71"/>
    <n v="307"/>
    <n v="20"/>
    <n v="983.2"/>
    <x v="10"/>
    <x v="2"/>
    <s v="23-04-2026"/>
    <n v="5.1285796254759797"/>
    <n v="9.5854999999999997"/>
  </r>
  <r>
    <n v="5223"/>
    <x v="92"/>
    <s v="Email"/>
    <s v="Welcome Series"/>
    <n v="297.77999999999997"/>
    <n v="643"/>
    <n v="26"/>
    <n v="2291.64"/>
    <x v="3"/>
    <x v="2"/>
    <s v="15-04-2026"/>
    <n v="7.6957485391900065"/>
    <n v="11.453076923076923"/>
  </r>
  <r>
    <n v="5224"/>
    <x v="93"/>
    <s v="Google Ads"/>
    <s v="Display"/>
    <n v="383.38"/>
    <n v="36"/>
    <n v="0"/>
    <n v="0"/>
    <x v="4"/>
    <x v="0"/>
    <s v="25-04-2026"/>
    <n v="0"/>
    <n v="0"/>
  </r>
  <r>
    <n v="5225"/>
    <x v="125"/>
    <s v="Google Ads"/>
    <s v="Display"/>
    <n v="249.1"/>
    <n v="247"/>
    <n v="12"/>
    <n v="613.32000000000005"/>
    <x v="4"/>
    <x v="0"/>
    <s v="17-01-2026"/>
    <n v="2.4621437173825775"/>
    <n v="20.758333333333333"/>
  </r>
  <r>
    <n v="5226"/>
    <x v="126"/>
    <s v=" Meta Ads "/>
    <s v="Summer Sale"/>
    <n v="258.52999999999997"/>
    <n v="781"/>
    <n v="11"/>
    <n v="599.83000000000004"/>
    <x v="1"/>
    <x v="1"/>
    <s v="31-01-2026"/>
    <n v="2.3201562681313583"/>
    <n v="23.50272727272727"/>
  </r>
  <r>
    <n v="5227"/>
    <x v="39"/>
    <s v="Google Ads"/>
    <s v="Search - Brand"/>
    <n v="180.48"/>
    <n v="540"/>
    <n v="32"/>
    <n v="1187.2"/>
    <x v="0"/>
    <x v="0"/>
    <s v="17-04-2026"/>
    <n v="6.5780141843971638"/>
    <n v="5.64"/>
  </r>
  <r>
    <n v="5228"/>
    <x v="119"/>
    <s v="Email"/>
    <s v="Promo Blast"/>
    <n v="139.29"/>
    <n v="399"/>
    <n v="31"/>
    <n v="2501.08"/>
    <x v="10"/>
    <x v="2"/>
    <s v="18-03-2026"/>
    <n v="17.955919305047026"/>
    <n v="4.4932258064516128"/>
  </r>
  <r>
    <n v="5229"/>
    <x v="127"/>
    <s v="Email"/>
    <s v="Abandoned Cart"/>
    <n v="116.13"/>
    <n v="733"/>
    <n v="46"/>
    <n v="1303.18"/>
    <x v="9"/>
    <x v="2"/>
    <s v="29-04-2026"/>
    <n v="11.221734263325585"/>
    <n v="2.5245652173913045"/>
  </r>
  <r>
    <n v="5230"/>
    <x v="128"/>
    <s v="Google Ads"/>
    <s v="Shopping"/>
    <n v="487.11"/>
    <n v="635"/>
    <n v="24"/>
    <n v="2058.48"/>
    <x v="7"/>
    <x v="0"/>
    <s v="12-03-2026"/>
    <n v="4.2259037999630475"/>
    <n v="20.296250000000001"/>
  </r>
  <r>
    <n v="5231"/>
    <x v="81"/>
    <s v="Meta Ads"/>
    <s v="Brand Awareness"/>
    <n v="289.31"/>
    <n v="178"/>
    <n v="3"/>
    <n v="206.4"/>
    <x v="5"/>
    <x v="1"/>
    <s v="13-01-2026"/>
    <n v="0.71342158929867616"/>
    <n v="96.436666666666667"/>
  </r>
  <r>
    <n v="5232"/>
    <x v="56"/>
    <s v=" Google Ads "/>
    <s v="Search - Brand"/>
    <n v="44.15"/>
    <n v="239"/>
    <n v="11"/>
    <n v="459.14"/>
    <x v="0"/>
    <x v="0"/>
    <s v="22-02-2026"/>
    <n v="10.399546998867498"/>
    <n v="4.0136363636363637"/>
  </r>
  <r>
    <n v="5233"/>
    <x v="97"/>
    <s v="Google Ads"/>
    <s v="Shopping"/>
    <n v="402.66"/>
    <n v="733"/>
    <n v="31"/>
    <n v="1085.31"/>
    <x v="7"/>
    <x v="0"/>
    <s v="11-01-2026"/>
    <n v="2.6953509164059004"/>
    <n v="12.989032258064517"/>
  </r>
  <r>
    <n v="5234"/>
    <x v="129"/>
    <s v="Meta Ads"/>
    <s v="New Arrivals"/>
    <n v="127.22"/>
    <n v="568"/>
    <n v="13"/>
    <n v="492.44"/>
    <x v="2"/>
    <x v="1"/>
    <s v="01-03-2026"/>
    <n v="3.8707750353717971"/>
    <n v="9.7861538461538462"/>
  </r>
  <r>
    <n v="5235"/>
    <x v="99"/>
    <s v="Email"/>
    <s v="Abandoned Cart"/>
    <n v="272.64"/>
    <n v="307"/>
    <n v="18"/>
    <n v="470.88"/>
    <x v="9"/>
    <x v="2"/>
    <s v="01-04-2026"/>
    <n v="1.727112676056338"/>
    <n v="15.146666666666667"/>
  </r>
  <r>
    <n v="5236"/>
    <x v="130"/>
    <s v="Meta Ads"/>
    <s v="Retargeting"/>
    <n v="387.24"/>
    <n v="242"/>
    <n v="7"/>
    <n v="222.45"/>
    <x v="6"/>
    <x v="1"/>
    <s v="19-03-2026"/>
    <n v="0.57444995351719863"/>
    <n v="55.32"/>
  </r>
  <r>
    <n v="5237"/>
    <x v="119"/>
    <s v="Meta Ads"/>
    <s v="New Arrivals"/>
    <n v="178.19"/>
    <n v="382"/>
    <n v="5"/>
    <n v="381"/>
    <x v="2"/>
    <x v="1"/>
    <s v="18-03-2026"/>
    <n v="2.1381671249789549"/>
    <n v="35.637999999999998"/>
  </r>
  <r>
    <n v="5238"/>
    <x v="91"/>
    <s v="Google Ads"/>
    <s v="Search - Brand"/>
    <n v="266.42"/>
    <n v="109"/>
    <n v="3"/>
    <n v="210.81"/>
    <x v="0"/>
    <x v="0"/>
    <s v="11-02-2026"/>
    <n v="0.7912694242174011"/>
    <n v="88.806666666666672"/>
  </r>
  <r>
    <n v="5239"/>
    <x v="120"/>
    <s v="Email"/>
    <s v="Newsletter"/>
    <n v="439.25"/>
    <n v="501"/>
    <n v="24"/>
    <n v="1007.52"/>
    <x v="11"/>
    <x v="2"/>
    <s v="03-04-2026"/>
    <n v="2.2937279453614114"/>
    <n v="18.302083333333332"/>
  </r>
  <r>
    <n v="5240"/>
    <x v="18"/>
    <s v=" Meta Ads "/>
    <s v="Retargeting"/>
    <n v="142.99"/>
    <n v="212"/>
    <n v="3"/>
    <n v="183.27"/>
    <x v="6"/>
    <x v="1"/>
    <s v="25-03-2026"/>
    <n v="1.2816980208406181"/>
    <n v="47.663333333333334"/>
  </r>
  <r>
    <n v="5241"/>
    <x v="121"/>
    <s v="Meta Ads"/>
    <s v="Summer Sale"/>
    <n v="293.8"/>
    <n v="715"/>
    <n v="17"/>
    <n v="521.22"/>
    <x v="1"/>
    <x v="1"/>
    <s v="25-01-2026"/>
    <n v="1.7740639891082368"/>
    <n v="17.28235294117647"/>
  </r>
  <r>
    <n v="5242"/>
    <x v="36"/>
    <s v="Email"/>
    <s v="Newsletter"/>
    <n v="297.69"/>
    <n v="249"/>
    <n v="11"/>
    <n v="829.07"/>
    <x v="11"/>
    <x v="2"/>
    <s v="29-01-2026"/>
    <n v="2.7850112533172093"/>
    <n v="27.062727272727273"/>
  </r>
  <r>
    <n v="5243"/>
    <x v="34"/>
    <s v="Meta Ads"/>
    <s v="Retargeting"/>
    <n v="409.06"/>
    <n v="482"/>
    <n v="10"/>
    <n v="368.8"/>
    <x v="6"/>
    <x v="1"/>
    <s v="26-01-2026"/>
    <n v="0.90157923043074373"/>
    <n v="40.905999999999999"/>
  </r>
  <r>
    <n v="5244"/>
    <x v="95"/>
    <s v="Meta Ads"/>
    <s v="New Arrivals"/>
    <n v="463.95"/>
    <n v="712"/>
    <n v="11"/>
    <n v="972.84"/>
    <x v="2"/>
    <x v="1"/>
    <s v="07-02-2026"/>
    <n v="2.0968638861946332"/>
    <n v="42.177272727272729"/>
  </r>
  <r>
    <n v="5245"/>
    <x v="131"/>
    <s v="Meta Ads"/>
    <s v="Summer Sale"/>
    <n v="64.349999999999994"/>
    <n v="744"/>
    <n v="21"/>
    <n v="1320.48"/>
    <x v="1"/>
    <x v="1"/>
    <s v="18-01-2026"/>
    <n v="20.520279720279721"/>
    <n v="3.0642857142857141"/>
  </r>
  <r>
    <n v="5246"/>
    <x v="28"/>
    <s v="Meta Ads"/>
    <s v="Brand Awareness"/>
    <n v="303.38"/>
    <n v="455"/>
    <n v="8"/>
    <n v="532.64"/>
    <x v="5"/>
    <x v="1"/>
    <s v="27-06-2026"/>
    <n v="1.7556859384270551"/>
    <n v="37.922499999999999"/>
  </r>
  <r>
    <n v="5247"/>
    <x v="30"/>
    <s v="Meta Ads"/>
    <s v="New Arrivals"/>
    <n v="135.25"/>
    <n v="611"/>
    <n v="11"/>
    <n v="444.18"/>
    <x v="2"/>
    <x v="1"/>
    <s v="11-06-2026"/>
    <n v="3.2841404805914971"/>
    <n v="12.295454545454545"/>
  </r>
  <r>
    <n v="5248"/>
    <x v="57"/>
    <s v="Google Ads"/>
    <s v="Display"/>
    <n v="342.53"/>
    <n v="357"/>
    <n v="16"/>
    <n v="1340.32"/>
    <x v="4"/>
    <x v="0"/>
    <s v="12-04-2026"/>
    <n v="3.9130003211397542"/>
    <n v="21.408124999999998"/>
  </r>
  <r>
    <n v="5249"/>
    <x v="72"/>
    <s v="Google Ads"/>
    <s v="Shopping"/>
    <n v="318.83999999999997"/>
    <n v="372"/>
    <n v="13"/>
    <n v="718.77"/>
    <x v="7"/>
    <x v="0"/>
    <s v="02-05-2026"/>
    <n v="2.2543281896876177"/>
    <n v="24.526153846153843"/>
  </r>
  <r>
    <n v="5250"/>
    <x v="92"/>
    <s v=" Meta Ads "/>
    <s v="Retargeting"/>
    <n v="415.01"/>
    <n v="198"/>
    <n v="3"/>
    <n v="139.86000000000001"/>
    <x v="6"/>
    <x v="1"/>
    <s v="15-04-2026"/>
    <n v="0.33700392761620207"/>
    <n v="138.33666666666667"/>
  </r>
  <r>
    <n v="5251"/>
    <x v="46"/>
    <s v="Google Ads"/>
    <s v="Shopping"/>
    <n v="494.5"/>
    <n v="479"/>
    <n v="11"/>
    <n v="967.34"/>
    <x v="7"/>
    <x v="0"/>
    <s v="11-04-2026"/>
    <n v="1.9561981799797776"/>
    <n v="44.954545454545453"/>
  </r>
  <r>
    <n v="5252"/>
    <x v="132"/>
    <s v="Email"/>
    <s v="Welcome Series"/>
    <n v="372.59"/>
    <n v="781"/>
    <n v="47"/>
    <n v="2325.56"/>
    <x v="3"/>
    <x v="2"/>
    <s v="25-05-2026"/>
    <n v="6.2416060549129071"/>
    <n v="7.9274468085106378"/>
  </r>
  <r>
    <n v="5253"/>
    <x v="101"/>
    <s v="Google Ads"/>
    <s v="Shopping"/>
    <n v="349.43"/>
    <n v="544"/>
    <n v="28"/>
    <n v="838.2"/>
    <x v="7"/>
    <x v="0"/>
    <s v="24-04-2026"/>
    <n v="2.3987637008842975"/>
    <n v="12.479642857142858"/>
  </r>
  <r>
    <n v="5254"/>
    <x v="79"/>
    <s v="Email"/>
    <s v="Promo Blast"/>
    <n v="447.73"/>
    <n v="756"/>
    <n v="29"/>
    <n v="2741.5"/>
    <x v="10"/>
    <x v="2"/>
    <s v="24-06-2026"/>
    <n v="6.1231099099903954"/>
    <n v="15.43896551724138"/>
  </r>
  <r>
    <n v="5255"/>
    <x v="47"/>
    <s v="Google Ads"/>
    <s v="Search - Generic"/>
    <n v="279.94"/>
    <n v="790"/>
    <n v="23"/>
    <n v="1730.52"/>
    <x v="8"/>
    <x v="0"/>
    <s v="18-02-2026"/>
    <n v="6.1817532328356073"/>
    <n v="12.171304347826087"/>
  </r>
  <r>
    <n v="5256"/>
    <x v="110"/>
    <s v="Google Ads"/>
    <s v="Shopping"/>
    <n v="97.7"/>
    <n v="598"/>
    <n v="23"/>
    <n v="647.22"/>
    <x v="7"/>
    <x v="0"/>
    <s v="13-06-2026"/>
    <n v="6.6245649948822924"/>
    <n v="4.2478260869565219"/>
  </r>
  <r>
    <n v="5257"/>
    <x v="133"/>
    <s v="Email"/>
    <s v="Welcome Series"/>
    <n v="486.31"/>
    <n v="378"/>
    <n v="33"/>
    <n v="1226.28"/>
    <x v="3"/>
    <x v="2"/>
    <s v="20-03-2026"/>
    <n v="2.5216014476362814"/>
    <n v="14.736666666666666"/>
  </r>
  <r>
    <n v="5258"/>
    <x v="78"/>
    <s v="Google Ads"/>
    <s v="Display"/>
    <n v="246.83"/>
    <n v="125"/>
    <n v="3"/>
    <n v="252.21"/>
    <x v="4"/>
    <x v="0"/>
    <s v="28-01-2026"/>
    <n v="1.0217963780739781"/>
    <n v="82.276666666666671"/>
  </r>
  <r>
    <n v="5259"/>
    <x v="9"/>
    <s v="Email"/>
    <s v="Promo Blast"/>
    <n v="217.63"/>
    <n v="88"/>
    <n v="4"/>
    <n v="194.32"/>
    <x v="10"/>
    <x v="2"/>
    <s v="08-02-2026"/>
    <n v="0.8928916050176906"/>
    <n v="54.407499999999999"/>
  </r>
  <r>
    <n v="5260"/>
    <x v="134"/>
    <s v="Email"/>
    <s v="Welcome Series"/>
    <n v="147.44999999999999"/>
    <n v="259"/>
    <n v="21"/>
    <n v="1720.11"/>
    <x v="3"/>
    <x v="2"/>
    <s v="04-01-2026"/>
    <n v="11.665717192268566"/>
    <n v="7.0214285714285705"/>
  </r>
  <r>
    <n v="5261"/>
    <x v="133"/>
    <s v="Email"/>
    <s v="Abandoned Cart"/>
    <n v="352.17"/>
    <n v="423"/>
    <n v="22"/>
    <n v="1894.64"/>
    <x v="9"/>
    <x v="2"/>
    <s v="20-03-2026"/>
    <n v="5.3799017519947752"/>
    <n v="16.007727272727273"/>
  </r>
  <r>
    <n v="5262"/>
    <x v="105"/>
    <s v="Email"/>
    <s v="Promo Blast"/>
    <n v="84.11"/>
    <n v="474"/>
    <n v="25"/>
    <n v="2127.5"/>
    <x v="10"/>
    <x v="2"/>
    <s v="17-02-2026"/>
    <n v="25.2942575199144"/>
    <n v="3.3643999999999998"/>
  </r>
  <r>
    <n v="5263"/>
    <x v="135"/>
    <s v="Email"/>
    <s v="Abandoned Cart"/>
    <n v="251.37"/>
    <n v="522"/>
    <n v="19"/>
    <n v="824.03"/>
    <x v="9"/>
    <x v="2"/>
    <s v="24-02-2026"/>
    <n v="3.278155706727135"/>
    <n v="13.23"/>
  </r>
  <r>
    <n v="5264"/>
    <x v="70"/>
    <s v="Email"/>
    <s v="Welcome Series"/>
    <n v="310.33"/>
    <n v="531"/>
    <n v="24"/>
    <n v="932.4"/>
    <x v="3"/>
    <x v="2"/>
    <s v="15-06-2026"/>
    <n v="3.0045435504140756"/>
    <n v="12.930416666666666"/>
  </r>
  <r>
    <n v="5265"/>
    <x v="120"/>
    <s v="Email"/>
    <s v="Newsletter"/>
    <n v="124.83"/>
    <n v="478"/>
    <n v="32"/>
    <n v="1088.6400000000001"/>
    <x v="11"/>
    <x v="2"/>
    <s v="03-04-2026"/>
    <n v="8.7209805335255961"/>
    <n v="3.9009374999999999"/>
  </r>
  <r>
    <n v="5266"/>
    <x v="97"/>
    <s v="Meta Ads"/>
    <s v="Brand Awareness"/>
    <n v="183.25"/>
    <n v="348"/>
    <n v="7"/>
    <n v="279.79000000000002"/>
    <x v="5"/>
    <x v="1"/>
    <s v="11-01-2026"/>
    <n v="1.5268212824010916"/>
    <n v="26.178571428571427"/>
  </r>
  <r>
    <n v="5267"/>
    <x v="49"/>
    <s v="Meta Ads"/>
    <s v="Summer Sale"/>
    <n v="199.72"/>
    <n v="655"/>
    <n v="10"/>
    <n v="308.2"/>
    <x v="1"/>
    <x v="1"/>
    <s v="08-01-2026"/>
    <n v="1.5431604245944321"/>
    <n v="19.972000000000001"/>
  </r>
  <r>
    <n v="5268"/>
    <x v="87"/>
    <s v="Email"/>
    <s v="Welcome Series"/>
    <n v="328.05"/>
    <n v="599"/>
    <n v="22"/>
    <n v="1199.22"/>
    <x v="3"/>
    <x v="2"/>
    <s v="15-01-2026"/>
    <n v="3.6556012802926383"/>
    <n v="14.911363636363637"/>
  </r>
  <r>
    <n v="5269"/>
    <x v="74"/>
    <s v="Google Ads"/>
    <s v="Search - Generic"/>
    <n v="450.76"/>
    <n v="26"/>
    <n v="0"/>
    <n v="0"/>
    <x v="8"/>
    <x v="0"/>
    <s v="14-04-2026"/>
    <n v="0"/>
    <n v="0"/>
  </r>
  <r>
    <n v="5270"/>
    <x v="54"/>
    <s v="Email"/>
    <s v="Newsletter"/>
    <n v="118.71"/>
    <n v="23"/>
    <n v="1"/>
    <n v="66.7"/>
    <x v="11"/>
    <x v="2"/>
    <s v="17-03-2026"/>
    <n v="0.56187347316990988"/>
    <n v="118.71"/>
  </r>
  <r>
    <n v="5271"/>
    <x v="136"/>
    <s v="Google Ads"/>
    <s v="Search - Brand"/>
    <n v="104.08"/>
    <n v="373"/>
    <n v="13"/>
    <n v="349.83"/>
    <x v="0"/>
    <x v="0"/>
    <s v="22-03-2026"/>
    <n v="3.361164488854727"/>
    <n v="8.0061538461538468"/>
  </r>
  <r>
    <n v="5272"/>
    <x v="137"/>
    <s v="Meta Ads"/>
    <s v="New Arrivals"/>
    <n v="414.52"/>
    <n v="141"/>
    <n v="3"/>
    <n v="178.02"/>
    <x v="2"/>
    <x v="1"/>
    <s v="01-05-2026"/>
    <n v="0.4294605809128631"/>
    <n v="138.17333333333332"/>
  </r>
  <r>
    <n v="5273"/>
    <x v="45"/>
    <s v="Email"/>
    <s v="Promo Blast"/>
    <n v="97.26"/>
    <n v="457"/>
    <n v="17"/>
    <n v="1760.41"/>
    <x v="10"/>
    <x v="2"/>
    <s v="19-02-2026"/>
    <n v="18.100041126876413"/>
    <n v="5.7211764705882358"/>
  </r>
  <r>
    <n v="5274"/>
    <x v="98"/>
    <s v="Meta Ads"/>
    <s v="Retargeting"/>
    <n v="54.07"/>
    <n v="341"/>
    <n v="5"/>
    <n v="399.51"/>
    <x v="6"/>
    <x v="1"/>
    <s v="23-01-2026"/>
    <n v="7.3887553171814311"/>
    <n v="10.814"/>
  </r>
  <r>
    <n v="5275"/>
    <x v="99"/>
    <s v="Meta Ads"/>
    <s v="Summer Sale"/>
    <n v="115.95"/>
    <n v="477"/>
    <n v="10"/>
    <n v="848.3"/>
    <x v="1"/>
    <x v="1"/>
    <s v="01-04-2026"/>
    <n v="7.3160845191893049"/>
    <n v="11.595000000000001"/>
  </r>
  <r>
    <n v="5276"/>
    <x v="137"/>
    <s v="Google Ads"/>
    <s v="Search - Generic"/>
    <n v="442.7"/>
    <n v="630"/>
    <n v="16"/>
    <n v="1345.44"/>
    <x v="8"/>
    <x v="0"/>
    <s v="01-05-2026"/>
    <n v="3.0391687372938785"/>
    <n v="27.668749999999999"/>
  </r>
  <r>
    <n v="5277"/>
    <x v="46"/>
    <s v="Email"/>
    <s v="Newsletter"/>
    <n v="116.06"/>
    <n v="10"/>
    <n v="0"/>
    <n v="0"/>
    <x v="11"/>
    <x v="2"/>
    <s v="11-04-2026"/>
    <n v="0"/>
    <n v="0"/>
  </r>
  <r>
    <n v="5278"/>
    <x v="110"/>
    <s v=" Google Ads "/>
    <s v="Search - Brand"/>
    <n v="383.42"/>
    <n v="116"/>
    <n v="5"/>
    <n v="411.75"/>
    <x v="0"/>
    <x v="0"/>
    <s v="13-06-2026"/>
    <n v="1.0738876427938031"/>
    <n v="76.683999999999997"/>
  </r>
  <r>
    <n v="5279"/>
    <x v="103"/>
    <s v="Meta Ads"/>
    <s v="Summer Sale"/>
    <n v="414.25"/>
    <n v="524"/>
    <n v="11"/>
    <n v="713.13"/>
    <x v="1"/>
    <x v="1"/>
    <s v="11-05-2026"/>
    <n v="1.7214966807483403"/>
    <n v="37.659090909090907"/>
  </r>
  <r>
    <m/>
    <x v="138"/>
    <m/>
    <m/>
    <m/>
    <m/>
    <m/>
    <m/>
    <x v="12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22E95-9DAA-4B52-B44D-0EF4EB1E523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7">
    <pivotField showAll="0"/>
    <pivotField showAll="0">
      <items count="140">
        <item x="29"/>
        <item x="111"/>
        <item x="67"/>
        <item x="134"/>
        <item x="40"/>
        <item x="117"/>
        <item x="49"/>
        <item x="94"/>
        <item x="97"/>
        <item x="81"/>
        <item x="104"/>
        <item x="87"/>
        <item x="1"/>
        <item x="125"/>
        <item x="131"/>
        <item x="35"/>
        <item x="53"/>
        <item x="98"/>
        <item x="32"/>
        <item x="121"/>
        <item x="34"/>
        <item x="2"/>
        <item x="78"/>
        <item x="36"/>
        <item x="83"/>
        <item x="126"/>
        <item x="48"/>
        <item x="15"/>
        <item x="124"/>
        <item x="116"/>
        <item x="19"/>
        <item x="59"/>
        <item x="95"/>
        <item x="9"/>
        <item x="90"/>
        <item x="91"/>
        <item x="7"/>
        <item x="3"/>
        <item x="105"/>
        <item x="47"/>
        <item x="45"/>
        <item x="68"/>
        <item x="56"/>
        <item x="76"/>
        <item x="135"/>
        <item x="41"/>
        <item x="24"/>
        <item x="22"/>
        <item x="129"/>
        <item x="86"/>
        <item x="106"/>
        <item x="26"/>
        <item x="20"/>
        <item x="107"/>
        <item x="75"/>
        <item x="128"/>
        <item x="73"/>
        <item x="33"/>
        <item x="54"/>
        <item x="119"/>
        <item x="130"/>
        <item x="133"/>
        <item x="25"/>
        <item x="136"/>
        <item x="21"/>
        <item x="0"/>
        <item x="18"/>
        <item x="37"/>
        <item x="27"/>
        <item x="13"/>
        <item x="99"/>
        <item x="31"/>
        <item x="120"/>
        <item x="58"/>
        <item x="44"/>
        <item x="85"/>
        <item x="88"/>
        <item x="51"/>
        <item x="46"/>
        <item x="57"/>
        <item x="74"/>
        <item x="92"/>
        <item x="65"/>
        <item x="39"/>
        <item x="80"/>
        <item x="69"/>
        <item x="38"/>
        <item x="113"/>
        <item x="101"/>
        <item x="93"/>
        <item x="89"/>
        <item x="96"/>
        <item x="17"/>
        <item x="127"/>
        <item x="10"/>
        <item x="137"/>
        <item x="72"/>
        <item x="102"/>
        <item x="112"/>
        <item x="77"/>
        <item x="6"/>
        <item x="61"/>
        <item x="103"/>
        <item x="8"/>
        <item x="109"/>
        <item x="16"/>
        <item x="115"/>
        <item x="63"/>
        <item x="84"/>
        <item x="66"/>
        <item x="132"/>
        <item x="23"/>
        <item x="5"/>
        <item x="42"/>
        <item x="52"/>
        <item x="55"/>
        <item x="64"/>
        <item x="100"/>
        <item x="12"/>
        <item x="50"/>
        <item x="118"/>
        <item x="30"/>
        <item x="110"/>
        <item x="70"/>
        <item x="82"/>
        <item x="108"/>
        <item x="14"/>
        <item x="114"/>
        <item x="4"/>
        <item x="60"/>
        <item x="62"/>
        <item x="79"/>
        <item x="122"/>
        <item x="11"/>
        <item x="28"/>
        <item x="71"/>
        <item x="43"/>
        <item x="138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h="1" x="3"/>
        <item x="2"/>
        <item x="0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9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Sum of Blende_ROA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391AE-BEE7-474B-B0DF-062644A0E1F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17">
    <pivotField showAll="0"/>
    <pivotField showAll="0">
      <items count="140">
        <item x="29"/>
        <item x="111"/>
        <item x="67"/>
        <item x="134"/>
        <item x="40"/>
        <item x="117"/>
        <item x="49"/>
        <item x="94"/>
        <item x="97"/>
        <item x="81"/>
        <item x="104"/>
        <item x="87"/>
        <item x="1"/>
        <item x="125"/>
        <item x="131"/>
        <item x="35"/>
        <item x="53"/>
        <item x="98"/>
        <item x="32"/>
        <item x="121"/>
        <item x="34"/>
        <item x="2"/>
        <item x="78"/>
        <item x="36"/>
        <item x="83"/>
        <item x="126"/>
        <item x="48"/>
        <item x="15"/>
        <item x="124"/>
        <item x="116"/>
        <item x="19"/>
        <item x="59"/>
        <item x="95"/>
        <item x="9"/>
        <item x="90"/>
        <item x="91"/>
        <item x="7"/>
        <item x="3"/>
        <item x="105"/>
        <item x="47"/>
        <item x="45"/>
        <item x="68"/>
        <item x="56"/>
        <item x="76"/>
        <item x="135"/>
        <item x="41"/>
        <item x="24"/>
        <item x="22"/>
        <item x="129"/>
        <item x="86"/>
        <item x="106"/>
        <item x="26"/>
        <item x="20"/>
        <item x="107"/>
        <item x="75"/>
        <item x="128"/>
        <item x="73"/>
        <item x="33"/>
        <item x="54"/>
        <item x="119"/>
        <item x="130"/>
        <item x="133"/>
        <item x="25"/>
        <item x="136"/>
        <item x="21"/>
        <item x="0"/>
        <item x="18"/>
        <item x="37"/>
        <item x="27"/>
        <item x="13"/>
        <item x="99"/>
        <item x="31"/>
        <item x="120"/>
        <item x="58"/>
        <item x="44"/>
        <item x="85"/>
        <item x="88"/>
        <item x="51"/>
        <item x="46"/>
        <item x="57"/>
        <item x="74"/>
        <item x="92"/>
        <item x="65"/>
        <item x="39"/>
        <item x="80"/>
        <item x="69"/>
        <item x="38"/>
        <item x="113"/>
        <item x="101"/>
        <item x="93"/>
        <item x="89"/>
        <item x="96"/>
        <item x="17"/>
        <item x="127"/>
        <item x="10"/>
        <item x="137"/>
        <item x="72"/>
        <item x="102"/>
        <item x="112"/>
        <item x="77"/>
        <item x="6"/>
        <item x="61"/>
        <item x="103"/>
        <item x="8"/>
        <item x="109"/>
        <item x="16"/>
        <item x="115"/>
        <item x="63"/>
        <item x="84"/>
        <item x="66"/>
        <item x="132"/>
        <item x="23"/>
        <item x="5"/>
        <item x="42"/>
        <item x="52"/>
        <item x="55"/>
        <item x="64"/>
        <item x="100"/>
        <item x="12"/>
        <item x="50"/>
        <item x="118"/>
        <item x="30"/>
        <item x="110"/>
        <item x="70"/>
        <item x="82"/>
        <item x="108"/>
        <item x="14"/>
        <item x="114"/>
        <item x="4"/>
        <item x="60"/>
        <item x="62"/>
        <item x="79"/>
        <item x="122"/>
        <item x="11"/>
        <item x="28"/>
        <item x="71"/>
        <item x="43"/>
        <item x="138"/>
        <item x="12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axis="axisRow" showAll="0" sortType="descending">
      <items count="14">
        <item x="9"/>
        <item x="5"/>
        <item x="4"/>
        <item x="2"/>
        <item x="11"/>
        <item x="10"/>
        <item x="6"/>
        <item x="0"/>
        <item x="8"/>
        <item x="7"/>
        <item x="1"/>
        <item x="3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8"/>
  </rowFields>
  <rowItems count="13">
    <i>
      <x v="5"/>
    </i>
    <i>
      <x/>
    </i>
    <i>
      <x v="11"/>
    </i>
    <i>
      <x v="4"/>
    </i>
    <i>
      <x v="7"/>
    </i>
    <i>
      <x v="2"/>
    </i>
    <i>
      <x v="8"/>
    </i>
    <i>
      <x v="9"/>
    </i>
    <i>
      <x v="10"/>
    </i>
    <i>
      <x v="3"/>
    </i>
    <i>
      <x v="1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4" baseField="0" baseItem="0"/>
    <dataField name="Sum of Revenue" fld="7" baseField="0" baseItem="0"/>
    <dataField name="Sum of Blended_ROA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375E5-ADCC-4866-A677-29F392CE83A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7">
    <pivotField showAll="0"/>
    <pivotField showAll="0">
      <items count="140">
        <item x="29"/>
        <item x="111"/>
        <item x="67"/>
        <item x="134"/>
        <item x="40"/>
        <item x="117"/>
        <item x="49"/>
        <item x="94"/>
        <item x="97"/>
        <item x="81"/>
        <item x="104"/>
        <item x="87"/>
        <item x="1"/>
        <item x="125"/>
        <item x="131"/>
        <item x="35"/>
        <item x="53"/>
        <item x="98"/>
        <item x="32"/>
        <item x="121"/>
        <item x="34"/>
        <item x="2"/>
        <item x="78"/>
        <item x="36"/>
        <item x="83"/>
        <item x="126"/>
        <item x="48"/>
        <item x="15"/>
        <item x="124"/>
        <item x="116"/>
        <item x="19"/>
        <item x="59"/>
        <item x="95"/>
        <item x="9"/>
        <item x="90"/>
        <item x="91"/>
        <item x="7"/>
        <item x="3"/>
        <item x="105"/>
        <item x="47"/>
        <item x="45"/>
        <item x="68"/>
        <item x="56"/>
        <item x="76"/>
        <item x="135"/>
        <item x="41"/>
        <item x="24"/>
        <item x="22"/>
        <item x="129"/>
        <item x="86"/>
        <item x="106"/>
        <item x="26"/>
        <item x="20"/>
        <item x="107"/>
        <item x="75"/>
        <item x="128"/>
        <item x="73"/>
        <item x="33"/>
        <item x="54"/>
        <item x="119"/>
        <item x="130"/>
        <item x="133"/>
        <item x="25"/>
        <item x="136"/>
        <item x="21"/>
        <item x="0"/>
        <item x="18"/>
        <item x="37"/>
        <item x="27"/>
        <item x="13"/>
        <item x="99"/>
        <item x="31"/>
        <item x="120"/>
        <item x="58"/>
        <item x="44"/>
        <item x="85"/>
        <item x="88"/>
        <item x="51"/>
        <item x="46"/>
        <item x="57"/>
        <item x="74"/>
        <item x="92"/>
        <item x="65"/>
        <item x="39"/>
        <item x="80"/>
        <item x="69"/>
        <item x="38"/>
        <item x="113"/>
        <item x="101"/>
        <item x="93"/>
        <item x="89"/>
        <item x="96"/>
        <item x="17"/>
        <item x="127"/>
        <item x="10"/>
        <item x="137"/>
        <item x="72"/>
        <item x="102"/>
        <item x="112"/>
        <item x="77"/>
        <item x="6"/>
        <item x="61"/>
        <item x="103"/>
        <item x="8"/>
        <item x="109"/>
        <item x="16"/>
        <item x="115"/>
        <item x="63"/>
        <item x="84"/>
        <item x="66"/>
        <item x="132"/>
        <item x="23"/>
        <item x="5"/>
        <item x="42"/>
        <item x="52"/>
        <item x="55"/>
        <item x="64"/>
        <item x="100"/>
        <item x="12"/>
        <item x="50"/>
        <item x="118"/>
        <item x="30"/>
        <item x="110"/>
        <item x="70"/>
        <item x="82"/>
        <item x="108"/>
        <item x="14"/>
        <item x="114"/>
        <item x="4"/>
        <item x="60"/>
        <item x="62"/>
        <item x="79"/>
        <item x="122"/>
        <item x="11"/>
        <item x="28"/>
        <item x="71"/>
        <item x="43"/>
        <item x="138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16F3-A46B-4963-9D4E-F780DDF20F27}">
  <dimension ref="A3:C7"/>
  <sheetViews>
    <sheetView tabSelected="1" workbookViewId="0">
      <selection activeCell="B3" sqref="B3"/>
    </sheetView>
  </sheetViews>
  <sheetFormatPr defaultRowHeight="14.4"/>
  <cols>
    <col min="1" max="1" width="12.5546875" bestFit="1" customWidth="1"/>
    <col min="2" max="2" width="14.88671875" bestFit="1" customWidth="1"/>
    <col min="3" max="3" width="19.109375" bestFit="1" customWidth="1"/>
  </cols>
  <sheetData>
    <row r="3" spans="1:3">
      <c r="A3" s="5" t="s">
        <v>31</v>
      </c>
      <c r="B3" t="s">
        <v>33</v>
      </c>
      <c r="C3" t="s">
        <v>42</v>
      </c>
    </row>
    <row r="4" spans="1:3">
      <c r="A4" s="6" t="s">
        <v>8</v>
      </c>
      <c r="B4" s="7">
        <v>134489.42000000001</v>
      </c>
      <c r="C4" s="7">
        <v>5.8876349501744336</v>
      </c>
    </row>
    <row r="5" spans="1:3">
      <c r="A5" s="6" t="s">
        <v>10</v>
      </c>
      <c r="B5" s="7">
        <v>83831.44</v>
      </c>
      <c r="C5" s="7">
        <v>3.1609587762703288</v>
      </c>
    </row>
    <row r="6" spans="1:3">
      <c r="A6" s="6" t="s">
        <v>14</v>
      </c>
      <c r="B6" s="7">
        <v>37746.479999999996</v>
      </c>
      <c r="C6" s="7">
        <v>1.5692039839464813</v>
      </c>
    </row>
    <row r="7" spans="1:3">
      <c r="A7" s="6" t="s">
        <v>32</v>
      </c>
      <c r="B7" s="7">
        <v>256067.34000000003</v>
      </c>
      <c r="C7" s="7">
        <v>3.4877948386583597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DE46-93B3-4729-A10A-234E632CE249}">
  <dimension ref="A3:D16"/>
  <sheetViews>
    <sheetView workbookViewId="0">
      <selection activeCell="D7" sqref="D7"/>
    </sheetView>
  </sheetViews>
  <sheetFormatPr defaultRowHeight="14.4"/>
  <cols>
    <col min="1" max="1" width="15.109375" bestFit="1" customWidth="1"/>
    <col min="2" max="2" width="12.77734375" bestFit="1" customWidth="1"/>
    <col min="3" max="3" width="14.88671875" bestFit="1" customWidth="1"/>
    <col min="4" max="4" width="20.21875" bestFit="1" customWidth="1"/>
  </cols>
  <sheetData>
    <row r="3" spans="1:4">
      <c r="A3" s="5" t="s">
        <v>31</v>
      </c>
      <c r="B3" t="s">
        <v>34</v>
      </c>
      <c r="C3" t="s">
        <v>33</v>
      </c>
      <c r="D3" t="s">
        <v>41</v>
      </c>
    </row>
    <row r="4" spans="1:4">
      <c r="A4" s="6" t="s">
        <v>24</v>
      </c>
      <c r="B4" s="7">
        <v>3263.8500000000004</v>
      </c>
      <c r="C4" s="7">
        <v>31410.079999999998</v>
      </c>
      <c r="D4" s="7">
        <v>9.6236285368506493</v>
      </c>
    </row>
    <row r="5" spans="1:4">
      <c r="A5" s="6" t="s">
        <v>13</v>
      </c>
      <c r="B5" s="7">
        <v>6906.5700000000006</v>
      </c>
      <c r="C5" s="7">
        <v>39990.729999999989</v>
      </c>
      <c r="D5" s="7">
        <v>5.7902446511075665</v>
      </c>
    </row>
    <row r="6" spans="1:4">
      <c r="A6" s="6" t="s">
        <v>9</v>
      </c>
      <c r="B6" s="7">
        <v>8320.3500000000022</v>
      </c>
      <c r="C6" s="7">
        <v>44281.82</v>
      </c>
      <c r="D6" s="7">
        <v>5.3221102477660178</v>
      </c>
    </row>
    <row r="7" spans="1:4">
      <c r="A7" s="6" t="s">
        <v>17</v>
      </c>
      <c r="B7" s="7">
        <v>4351.920000000001</v>
      </c>
      <c r="C7" s="7">
        <v>18806.789999999997</v>
      </c>
      <c r="D7" s="7">
        <v>4.321492582584237</v>
      </c>
    </row>
    <row r="8" spans="1:4">
      <c r="A8" s="6" t="s">
        <v>20</v>
      </c>
      <c r="B8" s="7">
        <v>5748.94</v>
      </c>
      <c r="C8" s="7">
        <v>21797.720000000008</v>
      </c>
      <c r="D8" s="7">
        <v>3.7916068005580175</v>
      </c>
    </row>
    <row r="9" spans="1:4">
      <c r="A9" s="6" t="s">
        <v>12</v>
      </c>
      <c r="B9" s="7">
        <v>4716.1400000000003</v>
      </c>
      <c r="C9" s="7">
        <v>17153.579999999998</v>
      </c>
      <c r="D9" s="7">
        <v>3.6372075468497536</v>
      </c>
    </row>
    <row r="10" spans="1:4">
      <c r="A10" s="6" t="s">
        <v>11</v>
      </c>
      <c r="B10" s="7">
        <v>7419.3600000000006</v>
      </c>
      <c r="C10" s="7">
        <v>21406.439999999995</v>
      </c>
      <c r="D10" s="7">
        <v>2.8852138189816903</v>
      </c>
    </row>
    <row r="11" spans="1:4">
      <c r="A11" s="6" t="s">
        <v>18</v>
      </c>
      <c r="B11" s="7">
        <v>8636.4500000000007</v>
      </c>
      <c r="C11" s="7">
        <v>23473.700000000004</v>
      </c>
      <c r="D11" s="7">
        <v>2.7179801886191668</v>
      </c>
    </row>
    <row r="12" spans="1:4">
      <c r="A12" s="6" t="s">
        <v>15</v>
      </c>
      <c r="B12" s="7">
        <v>6176.4100000000008</v>
      </c>
      <c r="C12" s="7">
        <v>12708.379999999997</v>
      </c>
      <c r="D12" s="7">
        <v>2.0575674218518518</v>
      </c>
    </row>
    <row r="13" spans="1:4">
      <c r="A13" s="6" t="s">
        <v>19</v>
      </c>
      <c r="B13" s="7">
        <v>5728.93</v>
      </c>
      <c r="C13" s="7">
        <v>9048.5</v>
      </c>
      <c r="D13" s="7">
        <v>1.5794397906764439</v>
      </c>
    </row>
    <row r="14" spans="1:4">
      <c r="A14" s="6" t="s">
        <v>22</v>
      </c>
      <c r="B14" s="7">
        <v>5649.97</v>
      </c>
      <c r="C14" s="7">
        <v>7599.8500000000022</v>
      </c>
      <c r="D14" s="7">
        <v>1.345113336884975</v>
      </c>
    </row>
    <row r="15" spans="1:4">
      <c r="A15" s="6" t="s">
        <v>23</v>
      </c>
      <c r="B15" s="7">
        <v>6499.23</v>
      </c>
      <c r="C15" s="7">
        <v>8389.75</v>
      </c>
      <c r="D15" s="7">
        <v>1.2908836892985784</v>
      </c>
    </row>
    <row r="16" spans="1:4">
      <c r="A16" s="6" t="s">
        <v>32</v>
      </c>
      <c r="B16" s="7">
        <v>73418.12000000001</v>
      </c>
      <c r="C16" s="7">
        <v>256067.34</v>
      </c>
      <c r="D16" s="7">
        <v>3.487794838658357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C864-7BBA-4260-875B-AB4AA50D64E4}">
  <dimension ref="A3:B10"/>
  <sheetViews>
    <sheetView workbookViewId="0">
      <selection activeCell="B5" sqref="B5"/>
    </sheetView>
  </sheetViews>
  <sheetFormatPr defaultRowHeight="14.4"/>
  <cols>
    <col min="1" max="1" width="12.5546875" bestFit="1" customWidth="1"/>
    <col min="2" max="2" width="14.88671875" bestFit="1" customWidth="1"/>
  </cols>
  <sheetData>
    <row r="3" spans="1:2">
      <c r="A3" s="5" t="s">
        <v>31</v>
      </c>
      <c r="B3" t="s">
        <v>33</v>
      </c>
    </row>
    <row r="4" spans="1:2">
      <c r="A4" s="6" t="s">
        <v>35</v>
      </c>
      <c r="B4" s="7">
        <v>38877.650000000016</v>
      </c>
    </row>
    <row r="5" spans="1:2">
      <c r="A5" s="6" t="s">
        <v>36</v>
      </c>
      <c r="B5" s="7">
        <v>46651.629999999983</v>
      </c>
    </row>
    <row r="6" spans="1:2">
      <c r="A6" s="6" t="s">
        <v>37</v>
      </c>
      <c r="B6" s="7">
        <v>40806.919999999991</v>
      </c>
    </row>
    <row r="7" spans="1:2">
      <c r="A7" s="6" t="s">
        <v>38</v>
      </c>
      <c r="B7" s="7">
        <v>55158.389999999985</v>
      </c>
    </row>
    <row r="8" spans="1:2">
      <c r="A8" s="6" t="s">
        <v>39</v>
      </c>
      <c r="B8" s="7">
        <v>27801.470000000005</v>
      </c>
    </row>
    <row r="9" spans="1:2">
      <c r="A9" s="6" t="s">
        <v>40</v>
      </c>
      <c r="B9" s="7">
        <v>46771.28</v>
      </c>
    </row>
    <row r="10" spans="1:2">
      <c r="A10" s="6" t="s">
        <v>32</v>
      </c>
      <c r="B10" s="7">
        <v>256067.33999999997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BA79-F1B8-448B-808C-75F92AE3DBBB}">
  <dimension ref="A1:M299"/>
  <sheetViews>
    <sheetView workbookViewId="0">
      <selection activeCell="N2" sqref="N2"/>
    </sheetView>
  </sheetViews>
  <sheetFormatPr defaultRowHeight="14.4"/>
  <cols>
    <col min="1" max="1" width="14.109375" customWidth="1"/>
    <col min="2" max="2" width="12.6640625" style="1" customWidth="1"/>
    <col min="3" max="3" width="12.21875" style="3" customWidth="1"/>
    <col min="4" max="4" width="17.6640625" style="3" customWidth="1"/>
    <col min="5" max="5" width="13.77734375" style="2" customWidth="1"/>
    <col min="6" max="6" width="14.44140625" customWidth="1"/>
    <col min="7" max="7" width="15.21875" customWidth="1"/>
    <col min="8" max="8" width="18.21875" style="2" customWidth="1"/>
    <col min="9" max="9" width="17.5546875" style="3" customWidth="1"/>
    <col min="10" max="10" width="16" style="3" customWidth="1"/>
    <col min="11" max="11" width="14.5546875" customWidth="1"/>
  </cols>
  <sheetData>
    <row r="1" spans="1:13">
      <c r="A1" t="s">
        <v>0</v>
      </c>
      <c r="B1" s="1" t="s">
        <v>1</v>
      </c>
      <c r="C1" s="3" t="s">
        <v>2</v>
      </c>
      <c r="D1" s="3" t="s">
        <v>3</v>
      </c>
      <c r="E1" s="2" t="s">
        <v>4</v>
      </c>
      <c r="F1" t="s">
        <v>5</v>
      </c>
      <c r="G1" t="s">
        <v>6</v>
      </c>
      <c r="H1" s="2" t="s">
        <v>7</v>
      </c>
      <c r="I1" s="3" t="s">
        <v>27</v>
      </c>
      <c r="J1" s="3" t="s">
        <v>26</v>
      </c>
      <c r="K1" t="s">
        <v>28</v>
      </c>
      <c r="L1" s="4" t="s">
        <v>29</v>
      </c>
      <c r="M1" t="s">
        <v>30</v>
      </c>
    </row>
    <row r="2" spans="1:13">
      <c r="A2">
        <v>5000</v>
      </c>
      <c r="B2" s="1">
        <v>46105</v>
      </c>
      <c r="C2" s="3" t="s">
        <v>10</v>
      </c>
      <c r="D2" s="3" t="s">
        <v>20</v>
      </c>
      <c r="E2" s="2">
        <v>277.22000000000003</v>
      </c>
      <c r="F2">
        <v>384</v>
      </c>
      <c r="G2">
        <v>16</v>
      </c>
      <c r="H2" s="2">
        <v>1346.08</v>
      </c>
      <c r="I2" s="3" t="str">
        <f t="shared" ref="I2:I65" si="0">TRIM(D2)</f>
        <v>Search - Brand</v>
      </c>
      <c r="J2" s="3" t="str">
        <f t="shared" ref="J2:J65" si="1">TRIM(PROPER(C2))</f>
        <v>Google Ads</v>
      </c>
      <c r="K2" t="str">
        <f>TEXT(B2,"dd-mm-yyyy")</f>
        <v>24-03-2026</v>
      </c>
      <c r="L2">
        <f>IF(E2=0,0,H2/E2)</f>
        <v>4.8556381213476651</v>
      </c>
      <c r="M2">
        <f>IF(G2=0,0,E2/G2)</f>
        <v>17.326250000000002</v>
      </c>
    </row>
    <row r="3" spans="1:13">
      <c r="A3">
        <v>5001</v>
      </c>
      <c r="B3" s="1">
        <v>46038</v>
      </c>
      <c r="C3" s="3" t="s">
        <v>14</v>
      </c>
      <c r="D3" s="3" t="s">
        <v>15</v>
      </c>
      <c r="E3" s="2">
        <v>488.6</v>
      </c>
      <c r="F3">
        <v>57</v>
      </c>
      <c r="G3">
        <v>1</v>
      </c>
      <c r="H3" s="2">
        <v>33.659999999999997</v>
      </c>
      <c r="I3" s="3" t="str">
        <f t="shared" si="0"/>
        <v>Summer Sale</v>
      </c>
      <c r="J3" s="3" t="str">
        <f t="shared" si="1"/>
        <v>Meta Ads</v>
      </c>
      <c r="K3" t="str">
        <f t="shared" ref="K3:K66" si="2">TEXT(B3,"dd-mm-yyyy")</f>
        <v>16-01-2026</v>
      </c>
      <c r="L3">
        <f t="shared" ref="L3:L66" si="3">IF(E3=0,0,H3/E3)</f>
        <v>6.8890708145722457E-2</v>
      </c>
      <c r="M3">
        <f t="shared" ref="M3:M66" si="4">IF(G3=0,0,E3/G3)</f>
        <v>488.6</v>
      </c>
    </row>
    <row r="4" spans="1:13">
      <c r="A4">
        <v>5002</v>
      </c>
      <c r="B4" s="1">
        <v>46049</v>
      </c>
      <c r="C4" s="3" t="s">
        <v>21</v>
      </c>
      <c r="D4" s="3" t="s">
        <v>20</v>
      </c>
      <c r="E4" s="2">
        <v>48.61</v>
      </c>
      <c r="F4">
        <v>220</v>
      </c>
      <c r="G4">
        <v>8</v>
      </c>
      <c r="H4" s="2">
        <v>476.48</v>
      </c>
      <c r="I4" s="3" t="str">
        <f t="shared" si="0"/>
        <v>Search - Brand</v>
      </c>
      <c r="J4" s="3" t="str">
        <f t="shared" si="1"/>
        <v>Google Ads</v>
      </c>
      <c r="K4" t="str">
        <f t="shared" si="2"/>
        <v>27-01-2026</v>
      </c>
      <c r="L4">
        <f t="shared" si="3"/>
        <v>9.8020983336761986</v>
      </c>
      <c r="M4">
        <f t="shared" si="4"/>
        <v>6.0762499999999999</v>
      </c>
    </row>
    <row r="5" spans="1:13">
      <c r="A5">
        <v>5003</v>
      </c>
      <c r="B5" s="1">
        <v>46069</v>
      </c>
      <c r="C5" s="3" t="s">
        <v>14</v>
      </c>
      <c r="D5" s="3" t="s">
        <v>19</v>
      </c>
      <c r="E5" s="2">
        <v>370.13</v>
      </c>
      <c r="F5">
        <v>304</v>
      </c>
      <c r="G5">
        <v>6</v>
      </c>
      <c r="H5" s="2">
        <v>178.56</v>
      </c>
      <c r="I5" s="3" t="str">
        <f t="shared" si="0"/>
        <v>New Arrivals</v>
      </c>
      <c r="J5" s="3" t="str">
        <f t="shared" si="1"/>
        <v>Meta Ads</v>
      </c>
      <c r="K5" t="str">
        <f t="shared" si="2"/>
        <v>16-02-2026</v>
      </c>
      <c r="L5">
        <f t="shared" si="3"/>
        <v>0.48242509388593197</v>
      </c>
      <c r="M5">
        <f t="shared" si="4"/>
        <v>61.688333333333333</v>
      </c>
    </row>
    <row r="6" spans="1:13">
      <c r="A6">
        <v>5004</v>
      </c>
      <c r="B6" s="1">
        <v>46194</v>
      </c>
      <c r="C6" s="3" t="s">
        <v>8</v>
      </c>
      <c r="D6" s="3" t="s">
        <v>9</v>
      </c>
      <c r="E6" s="2">
        <v>258.39999999999998</v>
      </c>
      <c r="F6">
        <v>477</v>
      </c>
      <c r="G6">
        <v>16</v>
      </c>
      <c r="H6" s="2">
        <v>497.28</v>
      </c>
      <c r="I6" s="3" t="str">
        <f t="shared" si="0"/>
        <v>Welcome Series</v>
      </c>
      <c r="J6" s="3" t="str">
        <f t="shared" si="1"/>
        <v>Email</v>
      </c>
      <c r="K6" t="str">
        <f t="shared" si="2"/>
        <v>21-06-2026</v>
      </c>
      <c r="L6">
        <f t="shared" si="3"/>
        <v>1.9244582043343654</v>
      </c>
      <c r="M6">
        <f t="shared" si="4"/>
        <v>16.149999999999999</v>
      </c>
    </row>
    <row r="7" spans="1:13">
      <c r="A7">
        <v>5005</v>
      </c>
      <c r="B7" s="1">
        <v>46170</v>
      </c>
      <c r="C7" s="3" t="s">
        <v>10</v>
      </c>
      <c r="D7" s="3" t="s">
        <v>12</v>
      </c>
      <c r="E7" s="2">
        <v>471.51</v>
      </c>
      <c r="F7">
        <v>373</v>
      </c>
      <c r="G7">
        <v>9</v>
      </c>
      <c r="H7" s="2">
        <v>293.49</v>
      </c>
      <c r="I7" s="3" t="str">
        <f t="shared" si="0"/>
        <v>Display</v>
      </c>
      <c r="J7" s="3" t="str">
        <f t="shared" si="1"/>
        <v>Google Ads</v>
      </c>
      <c r="K7" t="str">
        <f t="shared" si="2"/>
        <v>28-05-2026</v>
      </c>
      <c r="L7">
        <f t="shared" si="3"/>
        <v>0.62244703187631234</v>
      </c>
      <c r="M7">
        <f t="shared" si="4"/>
        <v>52.39</v>
      </c>
    </row>
    <row r="8" spans="1:13">
      <c r="A8">
        <v>5006</v>
      </c>
      <c r="B8" s="1">
        <v>46150</v>
      </c>
      <c r="C8" s="3" t="s">
        <v>14</v>
      </c>
      <c r="D8" s="3" t="s">
        <v>22</v>
      </c>
      <c r="E8" s="2">
        <v>85.72</v>
      </c>
      <c r="F8">
        <v>450</v>
      </c>
      <c r="G8">
        <v>12</v>
      </c>
      <c r="H8" s="2">
        <v>517.20000000000005</v>
      </c>
      <c r="I8" s="3" t="str">
        <f t="shared" si="0"/>
        <v>Brand Awareness</v>
      </c>
      <c r="J8" s="3" t="str">
        <f t="shared" si="1"/>
        <v>Meta Ads</v>
      </c>
      <c r="K8" t="str">
        <f t="shared" si="2"/>
        <v>08-05-2026</v>
      </c>
      <c r="L8">
        <f t="shared" si="3"/>
        <v>6.0335977601493243</v>
      </c>
      <c r="M8">
        <f t="shared" si="4"/>
        <v>7.1433333333333335</v>
      </c>
    </row>
    <row r="9" spans="1:13">
      <c r="A9">
        <v>5007</v>
      </c>
      <c r="B9" s="1">
        <v>46068</v>
      </c>
      <c r="C9" s="3" t="s">
        <v>14</v>
      </c>
      <c r="D9" s="3" t="s">
        <v>23</v>
      </c>
      <c r="E9" s="2">
        <v>418.92</v>
      </c>
      <c r="F9">
        <v>196</v>
      </c>
      <c r="G9">
        <v>2</v>
      </c>
      <c r="H9" s="2">
        <v>50.54</v>
      </c>
      <c r="I9" s="3" t="str">
        <f t="shared" si="0"/>
        <v>Retargeting</v>
      </c>
      <c r="J9" s="3" t="str">
        <f t="shared" si="1"/>
        <v>Meta Ads</v>
      </c>
      <c r="K9" t="str">
        <f t="shared" si="2"/>
        <v>15-02-2026</v>
      </c>
      <c r="L9">
        <f t="shared" si="3"/>
        <v>0.12064355962952353</v>
      </c>
      <c r="M9">
        <f t="shared" si="4"/>
        <v>209.46</v>
      </c>
    </row>
    <row r="10" spans="1:13">
      <c r="A10">
        <v>5008</v>
      </c>
      <c r="B10" s="1">
        <v>46154</v>
      </c>
      <c r="C10" s="3" t="s">
        <v>10</v>
      </c>
      <c r="D10" s="3" t="s">
        <v>12</v>
      </c>
      <c r="E10" s="2">
        <v>251.13</v>
      </c>
      <c r="F10">
        <v>420</v>
      </c>
      <c r="G10">
        <v>9</v>
      </c>
      <c r="H10" s="2">
        <v>264.42</v>
      </c>
      <c r="I10" s="3" t="str">
        <f t="shared" si="0"/>
        <v>Display</v>
      </c>
      <c r="J10" s="3" t="str">
        <f t="shared" si="1"/>
        <v>Google Ads</v>
      </c>
      <c r="K10" t="str">
        <f t="shared" si="2"/>
        <v>12-05-2026</v>
      </c>
      <c r="L10">
        <f t="shared" si="3"/>
        <v>1.0529207979930715</v>
      </c>
      <c r="M10">
        <f t="shared" si="4"/>
        <v>27.903333333333332</v>
      </c>
    </row>
    <row r="11" spans="1:13">
      <c r="A11">
        <v>5009</v>
      </c>
      <c r="B11" s="1">
        <v>46061</v>
      </c>
      <c r="C11" s="3" t="s">
        <v>10</v>
      </c>
      <c r="D11" s="3" t="s">
        <v>20</v>
      </c>
      <c r="E11" s="2">
        <v>119.82</v>
      </c>
      <c r="F11">
        <v>395</v>
      </c>
      <c r="G11">
        <v>10</v>
      </c>
      <c r="H11" s="2">
        <v>414</v>
      </c>
      <c r="I11" s="3" t="str">
        <f t="shared" si="0"/>
        <v>Search - Brand</v>
      </c>
      <c r="J11" s="3" t="str">
        <f t="shared" si="1"/>
        <v>Google Ads</v>
      </c>
      <c r="K11" t="str">
        <f t="shared" si="2"/>
        <v>08-02-2026</v>
      </c>
      <c r="L11">
        <f t="shared" si="3"/>
        <v>3.455182774161242</v>
      </c>
      <c r="M11">
        <f t="shared" si="4"/>
        <v>11.981999999999999</v>
      </c>
    </row>
    <row r="12" spans="1:13">
      <c r="A12">
        <v>5010</v>
      </c>
      <c r="B12" s="1">
        <v>46142</v>
      </c>
      <c r="C12" s="3" t="s">
        <v>10</v>
      </c>
      <c r="D12" s="3" t="s">
        <v>18</v>
      </c>
      <c r="E12" s="2">
        <v>69.05</v>
      </c>
      <c r="F12">
        <v>360</v>
      </c>
      <c r="G12">
        <v>17</v>
      </c>
      <c r="H12" s="2">
        <v>953.87</v>
      </c>
      <c r="I12" s="3" t="str">
        <f t="shared" si="0"/>
        <v>Shopping</v>
      </c>
      <c r="J12" s="3" t="str">
        <f t="shared" si="1"/>
        <v>Google Ads</v>
      </c>
      <c r="K12" t="str">
        <f t="shared" si="2"/>
        <v>30-04-2026</v>
      </c>
      <c r="L12">
        <f t="shared" si="3"/>
        <v>13.814192614047792</v>
      </c>
      <c r="M12">
        <f t="shared" si="4"/>
        <v>4.0617647058823527</v>
      </c>
    </row>
    <row r="13" spans="1:13">
      <c r="A13">
        <v>5011</v>
      </c>
      <c r="B13" s="1">
        <v>46199</v>
      </c>
      <c r="C13" s="3" t="s">
        <v>8</v>
      </c>
      <c r="D13" s="3" t="s">
        <v>9</v>
      </c>
      <c r="E13" s="2">
        <v>354.17</v>
      </c>
      <c r="F13">
        <v>277</v>
      </c>
      <c r="G13">
        <v>16</v>
      </c>
      <c r="H13" s="2">
        <v>1344.64</v>
      </c>
      <c r="I13" s="3" t="str">
        <f t="shared" si="0"/>
        <v>Welcome Series</v>
      </c>
      <c r="J13" s="3" t="str">
        <f t="shared" si="1"/>
        <v>Email</v>
      </c>
      <c r="K13" t="str">
        <f t="shared" si="2"/>
        <v>26-06-2026</v>
      </c>
      <c r="L13">
        <f t="shared" si="3"/>
        <v>3.7965948555778302</v>
      </c>
      <c r="M13">
        <f t="shared" si="4"/>
        <v>22.135625000000001</v>
      </c>
    </row>
    <row r="14" spans="1:13">
      <c r="A14">
        <v>5012</v>
      </c>
      <c r="B14" s="1">
        <v>46179</v>
      </c>
      <c r="C14" s="3" t="s">
        <v>14</v>
      </c>
      <c r="D14" s="3" t="s">
        <v>22</v>
      </c>
      <c r="E14" s="2">
        <v>268.47000000000003</v>
      </c>
      <c r="F14">
        <v>374</v>
      </c>
      <c r="G14">
        <v>9</v>
      </c>
      <c r="H14" s="2">
        <v>803.88</v>
      </c>
      <c r="I14" s="3" t="str">
        <f t="shared" si="0"/>
        <v>Brand Awareness</v>
      </c>
      <c r="J14" s="3" t="str">
        <f t="shared" si="1"/>
        <v>Meta Ads</v>
      </c>
      <c r="K14" t="str">
        <f t="shared" si="2"/>
        <v>06-06-2026</v>
      </c>
      <c r="L14">
        <f t="shared" si="3"/>
        <v>2.9943010392222593</v>
      </c>
      <c r="M14">
        <f t="shared" si="4"/>
        <v>29.830000000000002</v>
      </c>
    </row>
    <row r="15" spans="1:13">
      <c r="A15">
        <v>5013</v>
      </c>
      <c r="B15" s="1">
        <v>46112</v>
      </c>
      <c r="C15" s="3" t="s">
        <v>14</v>
      </c>
      <c r="D15" s="3" t="s">
        <v>23</v>
      </c>
      <c r="E15" s="2">
        <v>182.11</v>
      </c>
      <c r="F15">
        <v>504</v>
      </c>
      <c r="G15">
        <v>11</v>
      </c>
      <c r="H15" s="2">
        <v>918.72</v>
      </c>
      <c r="I15" s="3" t="str">
        <f t="shared" si="0"/>
        <v>Retargeting</v>
      </c>
      <c r="J15" s="3" t="str">
        <f t="shared" si="1"/>
        <v>Meta Ads</v>
      </c>
      <c r="K15" t="str">
        <f t="shared" si="2"/>
        <v>31-03-2026</v>
      </c>
      <c r="L15">
        <f t="shared" si="3"/>
        <v>5.0448629948931965</v>
      </c>
      <c r="M15">
        <f t="shared" si="4"/>
        <v>16.555454545454548</v>
      </c>
    </row>
    <row r="16" spans="1:13">
      <c r="A16">
        <v>5014</v>
      </c>
      <c r="B16" s="1">
        <v>46192</v>
      </c>
      <c r="C16" s="3" t="s">
        <v>10</v>
      </c>
      <c r="D16" s="3" t="s">
        <v>11</v>
      </c>
      <c r="E16" s="2">
        <v>398.79</v>
      </c>
      <c r="F16">
        <v>350</v>
      </c>
      <c r="G16">
        <v>8</v>
      </c>
      <c r="H16" s="2">
        <v>692</v>
      </c>
      <c r="I16" s="3" t="str">
        <f t="shared" si="0"/>
        <v>Search - Generic</v>
      </c>
      <c r="J16" s="3" t="str">
        <f t="shared" si="1"/>
        <v>Google Ads</v>
      </c>
      <c r="K16" t="str">
        <f t="shared" si="2"/>
        <v>19-06-2026</v>
      </c>
      <c r="L16">
        <f t="shared" si="3"/>
        <v>1.7352491286140574</v>
      </c>
      <c r="M16">
        <f t="shared" si="4"/>
        <v>49.848750000000003</v>
      </c>
    </row>
    <row r="17" spans="1:13">
      <c r="A17">
        <v>5015</v>
      </c>
      <c r="B17" s="1">
        <v>46055</v>
      </c>
      <c r="C17" s="3" t="s">
        <v>14</v>
      </c>
      <c r="D17" s="3" t="s">
        <v>22</v>
      </c>
      <c r="E17" s="2">
        <v>416.73</v>
      </c>
      <c r="F17">
        <v>495</v>
      </c>
      <c r="G17">
        <v>4</v>
      </c>
      <c r="H17" s="2">
        <v>525.58000000000004</v>
      </c>
      <c r="I17" s="3" t="str">
        <f t="shared" si="0"/>
        <v>Brand Awareness</v>
      </c>
      <c r="J17" s="3" t="str">
        <f t="shared" si="1"/>
        <v>Meta Ads</v>
      </c>
      <c r="K17" t="str">
        <f t="shared" si="2"/>
        <v>02-02-2026</v>
      </c>
      <c r="L17">
        <f t="shared" si="3"/>
        <v>1.2612002975547718</v>
      </c>
      <c r="M17">
        <f t="shared" si="4"/>
        <v>104.1825</v>
      </c>
    </row>
    <row r="18" spans="1:13">
      <c r="A18">
        <v>5016</v>
      </c>
      <c r="B18" s="1">
        <v>46157</v>
      </c>
      <c r="C18" s="3" t="s">
        <v>10</v>
      </c>
      <c r="D18" s="3" t="s">
        <v>11</v>
      </c>
      <c r="E18" s="2">
        <v>140.88</v>
      </c>
      <c r="F18">
        <v>309</v>
      </c>
      <c r="G18">
        <v>12</v>
      </c>
      <c r="H18" s="2">
        <v>895.68</v>
      </c>
      <c r="I18" s="3" t="str">
        <f t="shared" si="0"/>
        <v>Search - Generic</v>
      </c>
      <c r="J18" s="3" t="str">
        <f t="shared" si="1"/>
        <v>Google Ads</v>
      </c>
      <c r="K18" t="str">
        <f t="shared" si="2"/>
        <v>15-05-2026</v>
      </c>
      <c r="L18">
        <f t="shared" si="3"/>
        <v>6.3577512776831346</v>
      </c>
      <c r="M18">
        <f t="shared" si="4"/>
        <v>11.74</v>
      </c>
    </row>
    <row r="19" spans="1:13">
      <c r="A19">
        <v>5017</v>
      </c>
      <c r="B19" s="1">
        <v>46140</v>
      </c>
      <c r="C19" s="3" t="s">
        <v>8</v>
      </c>
      <c r="D19" s="3" t="s">
        <v>13</v>
      </c>
      <c r="E19" s="2">
        <v>28.98</v>
      </c>
      <c r="F19">
        <v>460</v>
      </c>
      <c r="G19">
        <v>35</v>
      </c>
      <c r="H19" s="2">
        <v>2259.6</v>
      </c>
      <c r="I19" s="3" t="str">
        <f t="shared" si="0"/>
        <v>Abandoned Cart</v>
      </c>
      <c r="J19" s="3" t="str">
        <f t="shared" si="1"/>
        <v>Email</v>
      </c>
      <c r="K19" t="str">
        <f t="shared" si="2"/>
        <v>28-04-2026</v>
      </c>
      <c r="L19">
        <f t="shared" si="3"/>
        <v>77.971014492753625</v>
      </c>
      <c r="M19">
        <f t="shared" si="4"/>
        <v>0.82799999999999996</v>
      </c>
    </row>
    <row r="20" spans="1:13">
      <c r="A20">
        <v>5018</v>
      </c>
      <c r="B20" s="1">
        <v>46038</v>
      </c>
      <c r="C20" s="3" t="s">
        <v>8</v>
      </c>
      <c r="D20" s="3" t="s">
        <v>24</v>
      </c>
      <c r="E20" s="2">
        <v>288.94</v>
      </c>
      <c r="F20">
        <v>264</v>
      </c>
      <c r="G20">
        <v>29</v>
      </c>
      <c r="H20" s="2">
        <v>277.39999999999998</v>
      </c>
      <c r="I20" s="3" t="str">
        <f t="shared" si="0"/>
        <v>Promo Blast</v>
      </c>
      <c r="J20" s="3" t="str">
        <f t="shared" si="1"/>
        <v>Email</v>
      </c>
      <c r="K20" t="str">
        <f t="shared" si="2"/>
        <v>16-01-2026</v>
      </c>
      <c r="L20">
        <f t="shared" si="3"/>
        <v>0.96006091230013146</v>
      </c>
      <c r="M20">
        <f t="shared" si="4"/>
        <v>9.9634482758620688</v>
      </c>
    </row>
    <row r="21" spans="1:13">
      <c r="A21">
        <v>5019</v>
      </c>
      <c r="B21" s="1">
        <v>46106</v>
      </c>
      <c r="C21" s="3" t="s">
        <v>8</v>
      </c>
      <c r="D21" s="3" t="s">
        <v>9</v>
      </c>
      <c r="E21" s="2">
        <v>249.46</v>
      </c>
      <c r="F21">
        <v>263</v>
      </c>
      <c r="G21">
        <v>18</v>
      </c>
      <c r="H21" s="2">
        <v>1475.46</v>
      </c>
      <c r="I21" s="3" t="str">
        <f t="shared" si="0"/>
        <v>Welcome Series</v>
      </c>
      <c r="J21" s="3" t="str">
        <f t="shared" si="1"/>
        <v>Email</v>
      </c>
      <c r="K21" t="str">
        <f t="shared" si="2"/>
        <v>25-03-2026</v>
      </c>
      <c r="L21">
        <f t="shared" si="3"/>
        <v>5.9146155696304019</v>
      </c>
      <c r="M21">
        <f t="shared" si="4"/>
        <v>13.85888888888889</v>
      </c>
    </row>
    <row r="22" spans="1:13">
      <c r="A22">
        <v>5020</v>
      </c>
      <c r="B22" s="1">
        <v>46058</v>
      </c>
      <c r="C22" s="3" t="s">
        <v>25</v>
      </c>
      <c r="D22" s="3" t="s">
        <v>22</v>
      </c>
      <c r="E22" s="2">
        <v>135.51</v>
      </c>
      <c r="F22">
        <v>84</v>
      </c>
      <c r="G22">
        <v>1</v>
      </c>
      <c r="H22" s="2">
        <v>44.68</v>
      </c>
      <c r="I22" s="3" t="str">
        <f t="shared" si="0"/>
        <v>Brand Awareness</v>
      </c>
      <c r="J22" s="3" t="str">
        <f t="shared" si="1"/>
        <v>Meta Ads</v>
      </c>
      <c r="K22" t="str">
        <f t="shared" si="2"/>
        <v>05-02-2026</v>
      </c>
      <c r="L22">
        <f t="shared" si="3"/>
        <v>0.32971736403217478</v>
      </c>
      <c r="M22">
        <f t="shared" si="4"/>
        <v>135.51</v>
      </c>
    </row>
    <row r="23" spans="1:13">
      <c r="A23">
        <v>5021</v>
      </c>
      <c r="B23" s="1">
        <v>46087</v>
      </c>
      <c r="C23" s="3" t="s">
        <v>21</v>
      </c>
      <c r="D23" s="3" t="s">
        <v>11</v>
      </c>
      <c r="E23" s="2">
        <v>444.77</v>
      </c>
      <c r="F23">
        <v>176</v>
      </c>
      <c r="G23">
        <v>10</v>
      </c>
      <c r="H23" s="2">
        <v>791.1</v>
      </c>
      <c r="I23" s="3" t="str">
        <f t="shared" si="0"/>
        <v>Search - Generic</v>
      </c>
      <c r="J23" s="3" t="str">
        <f t="shared" si="1"/>
        <v>Google Ads</v>
      </c>
      <c r="K23" t="str">
        <f t="shared" si="2"/>
        <v>06-03-2026</v>
      </c>
      <c r="L23">
        <f t="shared" si="3"/>
        <v>1.7786721226701443</v>
      </c>
      <c r="M23">
        <f t="shared" si="4"/>
        <v>44.476999999999997</v>
      </c>
    </row>
    <row r="24" spans="1:13">
      <c r="A24">
        <v>5022</v>
      </c>
      <c r="B24" s="1">
        <v>46104</v>
      </c>
      <c r="C24" s="3" t="s">
        <v>8</v>
      </c>
      <c r="D24" s="3" t="s">
        <v>9</v>
      </c>
      <c r="E24" s="2">
        <v>285.94</v>
      </c>
      <c r="F24">
        <v>461</v>
      </c>
      <c r="G24">
        <v>33</v>
      </c>
      <c r="H24" s="2">
        <v>1649.34</v>
      </c>
      <c r="I24" s="3" t="str">
        <f t="shared" si="0"/>
        <v>Welcome Series</v>
      </c>
      <c r="J24" s="3" t="str">
        <f t="shared" si="1"/>
        <v>Email</v>
      </c>
      <c r="K24" t="str">
        <f t="shared" si="2"/>
        <v>23-03-2026</v>
      </c>
      <c r="L24">
        <f t="shared" si="3"/>
        <v>5.768133174791914</v>
      </c>
      <c r="M24">
        <f t="shared" si="4"/>
        <v>8.6648484848484841</v>
      </c>
    </row>
    <row r="25" spans="1:13">
      <c r="A25">
        <v>5023</v>
      </c>
      <c r="B25" s="1">
        <v>46081</v>
      </c>
      <c r="C25" s="3" t="s">
        <v>14</v>
      </c>
      <c r="D25" s="3" t="s">
        <v>19</v>
      </c>
      <c r="E25" s="2">
        <v>107.14</v>
      </c>
      <c r="F25">
        <v>783</v>
      </c>
      <c r="G25">
        <v>9</v>
      </c>
      <c r="H25" s="2">
        <v>472.05</v>
      </c>
      <c r="I25" s="3" t="str">
        <f t="shared" si="0"/>
        <v>New Arrivals</v>
      </c>
      <c r="J25" s="3" t="str">
        <f t="shared" si="1"/>
        <v>Meta Ads</v>
      </c>
      <c r="K25" t="str">
        <f t="shared" si="2"/>
        <v>28-02-2026</v>
      </c>
      <c r="L25">
        <f t="shared" si="3"/>
        <v>4.4059174911330974</v>
      </c>
      <c r="M25">
        <f t="shared" si="4"/>
        <v>11.904444444444444</v>
      </c>
    </row>
    <row r="26" spans="1:13">
      <c r="A26">
        <v>5024</v>
      </c>
      <c r="B26" s="1">
        <v>46169</v>
      </c>
      <c r="C26" s="3" t="s">
        <v>8</v>
      </c>
      <c r="D26" s="3" t="s">
        <v>9</v>
      </c>
      <c r="E26" s="2">
        <v>47.61</v>
      </c>
      <c r="F26">
        <v>401</v>
      </c>
      <c r="G26">
        <v>29</v>
      </c>
      <c r="H26" s="2">
        <v>2412.5100000000002</v>
      </c>
      <c r="I26" s="3" t="str">
        <f t="shared" si="0"/>
        <v>Welcome Series</v>
      </c>
      <c r="J26" s="3" t="str">
        <f t="shared" si="1"/>
        <v>Email</v>
      </c>
      <c r="K26" t="str">
        <f t="shared" si="2"/>
        <v>27-05-2026</v>
      </c>
      <c r="L26">
        <f t="shared" si="3"/>
        <v>50.672337744171401</v>
      </c>
      <c r="M26">
        <f t="shared" si="4"/>
        <v>1.6417241379310346</v>
      </c>
    </row>
    <row r="27" spans="1:13">
      <c r="A27">
        <v>5025</v>
      </c>
      <c r="B27" s="1">
        <v>46079</v>
      </c>
      <c r="C27" s="3" t="s">
        <v>10</v>
      </c>
      <c r="D27" s="3" t="s">
        <v>20</v>
      </c>
      <c r="E27" s="2">
        <v>285.47000000000003</v>
      </c>
      <c r="F27">
        <v>284</v>
      </c>
      <c r="G27">
        <v>12</v>
      </c>
      <c r="H27" s="2">
        <v>333.72</v>
      </c>
      <c r="I27" s="3" t="str">
        <f t="shared" si="0"/>
        <v>Search - Brand</v>
      </c>
      <c r="J27" s="3" t="str">
        <f t="shared" si="1"/>
        <v>Google Ads</v>
      </c>
      <c r="K27" t="str">
        <f t="shared" si="2"/>
        <v>26-02-2026</v>
      </c>
      <c r="L27">
        <f t="shared" si="3"/>
        <v>1.1690195116824884</v>
      </c>
      <c r="M27">
        <f t="shared" si="4"/>
        <v>23.78916666666667</v>
      </c>
    </row>
    <row r="28" spans="1:13">
      <c r="A28">
        <v>5026</v>
      </c>
      <c r="B28" s="1">
        <v>46102</v>
      </c>
      <c r="C28" s="3" t="s">
        <v>8</v>
      </c>
      <c r="D28" s="3" t="s">
        <v>13</v>
      </c>
      <c r="E28" s="2">
        <v>251.37</v>
      </c>
      <c r="F28">
        <v>460</v>
      </c>
      <c r="G28">
        <v>28</v>
      </c>
      <c r="H28" s="2">
        <v>2509.92</v>
      </c>
      <c r="I28" s="3" t="str">
        <f t="shared" si="0"/>
        <v>Abandoned Cart</v>
      </c>
      <c r="J28" s="3" t="str">
        <f t="shared" si="1"/>
        <v>Email</v>
      </c>
      <c r="K28" t="str">
        <f t="shared" si="2"/>
        <v>21-03-2026</v>
      </c>
      <c r="L28">
        <f t="shared" si="3"/>
        <v>9.9849624060150379</v>
      </c>
      <c r="M28">
        <f t="shared" si="4"/>
        <v>8.9775000000000009</v>
      </c>
    </row>
    <row r="29" spans="1:13">
      <c r="A29">
        <v>5027</v>
      </c>
      <c r="B29" s="1">
        <v>46085</v>
      </c>
      <c r="C29" s="3" t="s">
        <v>14</v>
      </c>
      <c r="D29" s="3" t="s">
        <v>22</v>
      </c>
      <c r="E29" s="2">
        <v>446.59</v>
      </c>
      <c r="F29">
        <v>528</v>
      </c>
      <c r="G29">
        <v>8</v>
      </c>
      <c r="H29" s="2">
        <v>311.92</v>
      </c>
      <c r="I29" s="3" t="str">
        <f t="shared" si="0"/>
        <v>Brand Awareness</v>
      </c>
      <c r="J29" s="3" t="str">
        <f t="shared" si="1"/>
        <v>Meta Ads</v>
      </c>
      <c r="K29" t="str">
        <f t="shared" si="2"/>
        <v>04-03-2026</v>
      </c>
      <c r="L29">
        <f t="shared" si="3"/>
        <v>0.69844824111601256</v>
      </c>
      <c r="M29">
        <f t="shared" si="4"/>
        <v>55.823749999999997</v>
      </c>
    </row>
    <row r="30" spans="1:13">
      <c r="A30">
        <v>5028</v>
      </c>
      <c r="B30" s="1">
        <v>46111</v>
      </c>
      <c r="C30" s="3" t="s">
        <v>14</v>
      </c>
      <c r="D30" s="3" t="s">
        <v>15</v>
      </c>
      <c r="E30" s="2">
        <v>375.63</v>
      </c>
      <c r="F30">
        <v>271</v>
      </c>
      <c r="G30">
        <v>5</v>
      </c>
      <c r="H30" s="2">
        <v>143</v>
      </c>
      <c r="I30" s="3" t="str">
        <f t="shared" si="0"/>
        <v>Summer Sale</v>
      </c>
      <c r="J30" s="3" t="str">
        <f t="shared" si="1"/>
        <v>Meta Ads</v>
      </c>
      <c r="K30" t="str">
        <f t="shared" si="2"/>
        <v>30-03-2026</v>
      </c>
      <c r="L30">
        <f t="shared" si="3"/>
        <v>0.38069376780342357</v>
      </c>
      <c r="M30">
        <f t="shared" si="4"/>
        <v>75.126000000000005</v>
      </c>
    </row>
    <row r="31" spans="1:13">
      <c r="A31">
        <v>5029</v>
      </c>
      <c r="B31" s="1">
        <v>46200</v>
      </c>
      <c r="C31" s="3" t="s">
        <v>14</v>
      </c>
      <c r="D31" s="3" t="s">
        <v>22</v>
      </c>
      <c r="E31" s="2">
        <v>21.74</v>
      </c>
      <c r="F31">
        <v>382</v>
      </c>
      <c r="G31">
        <v>11</v>
      </c>
      <c r="H31" s="2">
        <v>970.42</v>
      </c>
      <c r="I31" s="3" t="str">
        <f t="shared" si="0"/>
        <v>Brand Awareness</v>
      </c>
      <c r="J31" s="3" t="str">
        <f t="shared" si="1"/>
        <v>Meta Ads</v>
      </c>
      <c r="K31" t="str">
        <f t="shared" si="2"/>
        <v>27-06-2026</v>
      </c>
      <c r="L31">
        <f t="shared" si="3"/>
        <v>44.637534498620056</v>
      </c>
      <c r="M31">
        <f t="shared" si="4"/>
        <v>1.9763636363636363</v>
      </c>
    </row>
    <row r="32" spans="1:13">
      <c r="A32">
        <v>5030</v>
      </c>
      <c r="B32" s="1">
        <v>46023</v>
      </c>
      <c r="C32" s="3" t="s">
        <v>10</v>
      </c>
      <c r="D32" s="3" t="s">
        <v>20</v>
      </c>
      <c r="E32" s="2">
        <v>116.47</v>
      </c>
      <c r="F32">
        <v>526</v>
      </c>
      <c r="G32">
        <v>26</v>
      </c>
      <c r="H32" s="2">
        <v>803.66</v>
      </c>
      <c r="I32" s="3" t="str">
        <f t="shared" si="0"/>
        <v>Search - Brand</v>
      </c>
      <c r="J32" s="3" t="str">
        <f t="shared" si="1"/>
        <v>Google Ads</v>
      </c>
      <c r="K32" t="str">
        <f t="shared" si="2"/>
        <v>01-01-2026</v>
      </c>
      <c r="L32">
        <f t="shared" si="3"/>
        <v>6.9001459603331332</v>
      </c>
      <c r="M32">
        <f t="shared" si="4"/>
        <v>4.4796153846153848</v>
      </c>
    </row>
    <row r="33" spans="1:13">
      <c r="A33">
        <v>5031</v>
      </c>
      <c r="B33" s="1">
        <v>46184</v>
      </c>
      <c r="C33" s="3" t="s">
        <v>14</v>
      </c>
      <c r="D33" s="3" t="s">
        <v>23</v>
      </c>
      <c r="E33" s="2">
        <v>441.96</v>
      </c>
      <c r="F33">
        <v>408</v>
      </c>
      <c r="G33">
        <v>10</v>
      </c>
      <c r="H33" s="2">
        <v>718.4</v>
      </c>
      <c r="I33" s="3" t="str">
        <f t="shared" si="0"/>
        <v>Retargeting</v>
      </c>
      <c r="J33" s="3" t="str">
        <f t="shared" si="1"/>
        <v>Meta Ads</v>
      </c>
      <c r="K33" t="str">
        <f t="shared" si="2"/>
        <v>11-06-2026</v>
      </c>
      <c r="L33">
        <f t="shared" si="3"/>
        <v>1.6254864693637434</v>
      </c>
      <c r="M33">
        <f t="shared" si="4"/>
        <v>44.195999999999998</v>
      </c>
    </row>
    <row r="34" spans="1:13">
      <c r="A34">
        <v>5032</v>
      </c>
      <c r="B34" s="1">
        <v>46154</v>
      </c>
      <c r="C34" s="3" t="s">
        <v>8</v>
      </c>
      <c r="D34" s="3" t="s">
        <v>13</v>
      </c>
      <c r="E34" s="2">
        <v>292.87</v>
      </c>
      <c r="F34">
        <v>26</v>
      </c>
      <c r="G34">
        <v>2</v>
      </c>
      <c r="H34" s="2">
        <v>125.92</v>
      </c>
      <c r="I34" s="3" t="str">
        <f t="shared" si="0"/>
        <v>Abandoned Cart</v>
      </c>
      <c r="J34" s="3" t="str">
        <f t="shared" si="1"/>
        <v>Email</v>
      </c>
      <c r="K34" t="str">
        <f t="shared" si="2"/>
        <v>12-05-2026</v>
      </c>
      <c r="L34">
        <f t="shared" si="3"/>
        <v>0.42995185577218559</v>
      </c>
      <c r="M34">
        <f t="shared" si="4"/>
        <v>146.435</v>
      </c>
    </row>
    <row r="35" spans="1:13">
      <c r="A35">
        <v>5033</v>
      </c>
      <c r="B35" s="1">
        <v>46114</v>
      </c>
      <c r="C35" s="3" t="s">
        <v>14</v>
      </c>
      <c r="D35" s="3" t="s">
        <v>22</v>
      </c>
      <c r="E35" s="2">
        <v>321.33</v>
      </c>
      <c r="F35">
        <v>651</v>
      </c>
      <c r="G35">
        <v>13</v>
      </c>
      <c r="H35" s="2">
        <v>531.70000000000005</v>
      </c>
      <c r="I35" s="3" t="str">
        <f t="shared" si="0"/>
        <v>Brand Awareness</v>
      </c>
      <c r="J35" s="3" t="str">
        <f t="shared" si="1"/>
        <v>Meta Ads</v>
      </c>
      <c r="K35" t="str">
        <f t="shared" si="2"/>
        <v>02-04-2026</v>
      </c>
      <c r="L35">
        <f t="shared" si="3"/>
        <v>1.6546852145769149</v>
      </c>
      <c r="M35">
        <f t="shared" si="4"/>
        <v>24.717692307692307</v>
      </c>
    </row>
    <row r="36" spans="1:13">
      <c r="A36">
        <v>5034</v>
      </c>
      <c r="B36" s="1">
        <v>46046</v>
      </c>
      <c r="C36" s="3" t="s">
        <v>16</v>
      </c>
      <c r="D36" s="3" t="s">
        <v>24</v>
      </c>
      <c r="E36" s="2">
        <v>147.47</v>
      </c>
      <c r="F36">
        <v>756</v>
      </c>
      <c r="G36">
        <v>56</v>
      </c>
      <c r="H36" s="2">
        <v>2240</v>
      </c>
      <c r="I36" s="3" t="str">
        <f t="shared" si="0"/>
        <v>Promo Blast</v>
      </c>
      <c r="J36" s="3" t="str">
        <f t="shared" si="1"/>
        <v>Email</v>
      </c>
      <c r="K36" t="str">
        <f t="shared" si="2"/>
        <v>24-01-2026</v>
      </c>
      <c r="L36">
        <f t="shared" si="3"/>
        <v>15.189530073913339</v>
      </c>
      <c r="M36">
        <f t="shared" si="4"/>
        <v>2.6333928571428573</v>
      </c>
    </row>
    <row r="37" spans="1:13">
      <c r="A37">
        <v>5035</v>
      </c>
      <c r="B37" s="1">
        <v>46096</v>
      </c>
      <c r="C37" s="3" t="s">
        <v>8</v>
      </c>
      <c r="D37" s="3" t="s">
        <v>13</v>
      </c>
      <c r="E37" s="2">
        <v>90.76</v>
      </c>
      <c r="F37">
        <v>270</v>
      </c>
      <c r="G37">
        <v>18</v>
      </c>
      <c r="H37" s="2">
        <v>1260.72</v>
      </c>
      <c r="I37" s="3" t="str">
        <f t="shared" si="0"/>
        <v>Abandoned Cart</v>
      </c>
      <c r="J37" s="3" t="str">
        <f t="shared" si="1"/>
        <v>Email</v>
      </c>
      <c r="K37" t="str">
        <f t="shared" si="2"/>
        <v>15-03-2026</v>
      </c>
      <c r="L37">
        <f t="shared" si="3"/>
        <v>13.890700749228735</v>
      </c>
      <c r="M37">
        <f t="shared" si="4"/>
        <v>5.0422222222222226</v>
      </c>
    </row>
    <row r="38" spans="1:13">
      <c r="A38">
        <v>5036</v>
      </c>
      <c r="B38" s="1">
        <v>46048</v>
      </c>
      <c r="C38" s="3" t="s">
        <v>8</v>
      </c>
      <c r="D38" s="3" t="s">
        <v>24</v>
      </c>
      <c r="E38" s="2">
        <v>243.04</v>
      </c>
      <c r="F38">
        <v>487</v>
      </c>
      <c r="G38">
        <v>37</v>
      </c>
      <c r="H38" s="2">
        <v>3313.72</v>
      </c>
      <c r="I38" s="3" t="str">
        <f t="shared" si="0"/>
        <v>Promo Blast</v>
      </c>
      <c r="J38" s="3" t="str">
        <f t="shared" si="1"/>
        <v>Email</v>
      </c>
      <c r="K38" t="str">
        <f t="shared" si="2"/>
        <v>26-01-2026</v>
      </c>
      <c r="L38">
        <f t="shared" si="3"/>
        <v>13.634463462804476</v>
      </c>
      <c r="M38">
        <f t="shared" si="4"/>
        <v>6.5686486486486482</v>
      </c>
    </row>
    <row r="39" spans="1:13">
      <c r="A39">
        <v>5037</v>
      </c>
      <c r="B39" s="1">
        <v>46042</v>
      </c>
      <c r="C39" s="3" t="s">
        <v>10</v>
      </c>
      <c r="D39" s="3" t="s">
        <v>12</v>
      </c>
      <c r="E39" s="2">
        <v>121.14</v>
      </c>
      <c r="F39">
        <v>605</v>
      </c>
      <c r="G39">
        <v>14</v>
      </c>
      <c r="H39" s="2">
        <v>1030.26</v>
      </c>
      <c r="I39" s="3" t="str">
        <f t="shared" si="0"/>
        <v>Display</v>
      </c>
      <c r="J39" s="3" t="str">
        <f t="shared" si="1"/>
        <v>Google Ads</v>
      </c>
      <c r="K39" t="str">
        <f t="shared" si="2"/>
        <v>20-01-2026</v>
      </c>
      <c r="L39">
        <f t="shared" si="3"/>
        <v>8.5047052996532937</v>
      </c>
      <c r="M39">
        <f t="shared" si="4"/>
        <v>8.6528571428571421</v>
      </c>
    </row>
    <row r="40" spans="1:13">
      <c r="A40">
        <v>5038</v>
      </c>
      <c r="B40" s="1">
        <v>46051</v>
      </c>
      <c r="C40" s="3" t="s">
        <v>14</v>
      </c>
      <c r="D40" s="3" t="s">
        <v>22</v>
      </c>
      <c r="E40" s="2">
        <v>31.92</v>
      </c>
      <c r="F40">
        <v>13</v>
      </c>
      <c r="G40">
        <v>0</v>
      </c>
      <c r="H40" s="2">
        <v>0</v>
      </c>
      <c r="I40" s="3" t="str">
        <f t="shared" si="0"/>
        <v>Brand Awareness</v>
      </c>
      <c r="J40" s="3" t="str">
        <f t="shared" si="1"/>
        <v>Meta Ads</v>
      </c>
      <c r="K40" t="str">
        <f t="shared" si="2"/>
        <v>29-01-2026</v>
      </c>
      <c r="L40">
        <f t="shared" si="3"/>
        <v>0</v>
      </c>
      <c r="M40">
        <f t="shared" si="4"/>
        <v>0</v>
      </c>
    </row>
    <row r="41" spans="1:13">
      <c r="A41">
        <v>5039</v>
      </c>
      <c r="B41" s="1">
        <v>46107</v>
      </c>
      <c r="C41" s="3" t="s">
        <v>10</v>
      </c>
      <c r="D41" s="3" t="s">
        <v>18</v>
      </c>
      <c r="E41" s="2">
        <v>464.67</v>
      </c>
      <c r="F41">
        <v>740</v>
      </c>
      <c r="G41">
        <v>15</v>
      </c>
      <c r="H41" s="2">
        <v>1096.3499999999999</v>
      </c>
      <c r="I41" s="3" t="str">
        <f t="shared" si="0"/>
        <v>Shopping</v>
      </c>
      <c r="J41" s="3" t="str">
        <f t="shared" si="1"/>
        <v>Google Ads</v>
      </c>
      <c r="K41" t="str">
        <f t="shared" si="2"/>
        <v>26-03-2026</v>
      </c>
      <c r="L41">
        <f t="shared" si="3"/>
        <v>2.3594163599974172</v>
      </c>
      <c r="M41">
        <f t="shared" si="4"/>
        <v>30.978000000000002</v>
      </c>
    </row>
    <row r="42" spans="1:13">
      <c r="A42">
        <v>5040</v>
      </c>
      <c r="B42" s="1">
        <v>46132</v>
      </c>
      <c r="C42" s="3" t="s">
        <v>14</v>
      </c>
      <c r="D42" s="3" t="s">
        <v>19</v>
      </c>
      <c r="E42" s="2">
        <v>157.1</v>
      </c>
      <c r="F42">
        <v>162</v>
      </c>
      <c r="G42">
        <v>2</v>
      </c>
      <c r="H42" s="2">
        <v>84.54</v>
      </c>
      <c r="I42" s="3" t="str">
        <f t="shared" si="0"/>
        <v>New Arrivals</v>
      </c>
      <c r="J42" s="3" t="str">
        <f t="shared" si="1"/>
        <v>Meta Ads</v>
      </c>
      <c r="K42" t="str">
        <f t="shared" si="2"/>
        <v>20-04-2026</v>
      </c>
      <c r="L42">
        <f t="shared" si="3"/>
        <v>0.53812858052196055</v>
      </c>
      <c r="M42">
        <f t="shared" si="4"/>
        <v>78.55</v>
      </c>
    </row>
    <row r="43" spans="1:13">
      <c r="A43">
        <v>5041</v>
      </c>
      <c r="B43" s="1">
        <v>46184</v>
      </c>
      <c r="C43" s="3" t="s">
        <v>16</v>
      </c>
      <c r="D43" s="3" t="s">
        <v>13</v>
      </c>
      <c r="E43" s="2">
        <v>371.53</v>
      </c>
      <c r="F43">
        <v>471</v>
      </c>
      <c r="G43">
        <v>31</v>
      </c>
      <c r="H43" s="2">
        <v>1054.31</v>
      </c>
      <c r="I43" s="3" t="str">
        <f t="shared" si="0"/>
        <v>Abandoned Cart</v>
      </c>
      <c r="J43" s="3" t="str">
        <f t="shared" si="1"/>
        <v>Email</v>
      </c>
      <c r="K43" t="str">
        <f t="shared" si="2"/>
        <v>11-06-2026</v>
      </c>
      <c r="L43">
        <f t="shared" si="3"/>
        <v>2.8377519984927195</v>
      </c>
      <c r="M43">
        <f t="shared" si="4"/>
        <v>11.984838709677419</v>
      </c>
    </row>
    <row r="44" spans="1:13">
      <c r="A44">
        <v>5042</v>
      </c>
      <c r="B44" s="1">
        <v>46129</v>
      </c>
      <c r="C44" s="3" t="s">
        <v>10</v>
      </c>
      <c r="D44" s="3" t="s">
        <v>18</v>
      </c>
      <c r="E44" s="2">
        <v>333.35</v>
      </c>
      <c r="F44">
        <v>425</v>
      </c>
      <c r="G44">
        <v>19</v>
      </c>
      <c r="H44" s="2">
        <v>846.45</v>
      </c>
      <c r="I44" s="3" t="str">
        <f t="shared" si="0"/>
        <v>Shopping</v>
      </c>
      <c r="J44" s="3" t="str">
        <f t="shared" si="1"/>
        <v>Google Ads</v>
      </c>
      <c r="K44" t="str">
        <f t="shared" si="2"/>
        <v>17-04-2026</v>
      </c>
      <c r="L44">
        <f t="shared" si="3"/>
        <v>2.5392230388480574</v>
      </c>
      <c r="M44">
        <f t="shared" si="4"/>
        <v>17.544736842105266</v>
      </c>
    </row>
    <row r="45" spans="1:13">
      <c r="A45">
        <v>5043</v>
      </c>
      <c r="B45" s="1">
        <v>46150</v>
      </c>
      <c r="C45" s="3" t="s">
        <v>10</v>
      </c>
      <c r="D45" s="3" t="s">
        <v>18</v>
      </c>
      <c r="E45" s="2">
        <v>87.01</v>
      </c>
      <c r="F45">
        <v>207</v>
      </c>
      <c r="G45">
        <v>6</v>
      </c>
      <c r="H45" s="2">
        <v>218.16</v>
      </c>
      <c r="I45" s="3" t="str">
        <f t="shared" si="0"/>
        <v>Shopping</v>
      </c>
      <c r="J45" s="3" t="str">
        <f t="shared" si="1"/>
        <v>Google Ads</v>
      </c>
      <c r="K45" t="str">
        <f t="shared" si="2"/>
        <v>08-05-2026</v>
      </c>
      <c r="L45">
        <f t="shared" si="3"/>
        <v>2.5072980117227903</v>
      </c>
      <c r="M45">
        <f t="shared" si="4"/>
        <v>14.501666666666667</v>
      </c>
    </row>
    <row r="46" spans="1:13">
      <c r="A46">
        <v>5044</v>
      </c>
      <c r="B46" s="1">
        <v>46028</v>
      </c>
      <c r="C46" s="3" t="s">
        <v>10</v>
      </c>
      <c r="D46" s="3" t="s">
        <v>12</v>
      </c>
      <c r="E46" s="2">
        <v>149.72</v>
      </c>
      <c r="F46">
        <v>780</v>
      </c>
      <c r="G46">
        <v>17</v>
      </c>
      <c r="H46" s="2">
        <v>731.68</v>
      </c>
      <c r="I46" s="3" t="str">
        <f t="shared" si="0"/>
        <v>Display</v>
      </c>
      <c r="J46" s="3" t="str">
        <f t="shared" si="1"/>
        <v>Google Ads</v>
      </c>
      <c r="K46" t="str">
        <f t="shared" si="2"/>
        <v>06-01-2026</v>
      </c>
      <c r="L46">
        <f t="shared" si="3"/>
        <v>4.8869890462196093</v>
      </c>
      <c r="M46">
        <f t="shared" si="4"/>
        <v>8.8070588235294114</v>
      </c>
    </row>
    <row r="47" spans="1:13">
      <c r="A47">
        <v>5045</v>
      </c>
      <c r="B47" s="1">
        <v>46078</v>
      </c>
      <c r="C47" s="3" t="s">
        <v>10</v>
      </c>
      <c r="D47" s="3" t="s">
        <v>11</v>
      </c>
      <c r="E47" s="2">
        <v>279.94</v>
      </c>
      <c r="F47">
        <v>329</v>
      </c>
      <c r="G47">
        <v>17</v>
      </c>
      <c r="H47" s="2">
        <v>1389.58</v>
      </c>
      <c r="I47" s="3" t="str">
        <f t="shared" si="0"/>
        <v>Search - Generic</v>
      </c>
      <c r="J47" s="3" t="str">
        <f t="shared" si="1"/>
        <v>Google Ads</v>
      </c>
      <c r="K47" t="str">
        <f t="shared" si="2"/>
        <v>25-02-2026</v>
      </c>
      <c r="L47">
        <f t="shared" si="3"/>
        <v>4.9638493962992065</v>
      </c>
      <c r="M47">
        <f t="shared" si="4"/>
        <v>16.467058823529413</v>
      </c>
    </row>
    <row r="48" spans="1:13">
      <c r="A48">
        <v>5046</v>
      </c>
      <c r="B48" s="1">
        <v>46173</v>
      </c>
      <c r="C48" s="3" t="s">
        <v>14</v>
      </c>
      <c r="D48" s="3" t="s">
        <v>15</v>
      </c>
      <c r="E48" s="2">
        <v>416.28</v>
      </c>
      <c r="F48">
        <v>489</v>
      </c>
      <c r="G48">
        <v>14</v>
      </c>
      <c r="H48" s="2">
        <v>576.1</v>
      </c>
      <c r="I48" s="3" t="str">
        <f t="shared" si="0"/>
        <v>Summer Sale</v>
      </c>
      <c r="J48" s="3" t="str">
        <f t="shared" si="1"/>
        <v>Meta Ads</v>
      </c>
      <c r="K48" t="str">
        <f t="shared" si="2"/>
        <v>31-05-2026</v>
      </c>
      <c r="L48">
        <f t="shared" si="3"/>
        <v>1.3839242817334487</v>
      </c>
      <c r="M48">
        <f t="shared" si="4"/>
        <v>29.734285714285711</v>
      </c>
    </row>
    <row r="49" spans="1:13">
      <c r="A49">
        <v>5047</v>
      </c>
      <c r="B49" s="1">
        <v>46202</v>
      </c>
      <c r="C49" s="3" t="s">
        <v>14</v>
      </c>
      <c r="D49" s="3" t="s">
        <v>15</v>
      </c>
      <c r="E49" s="2">
        <v>80.31</v>
      </c>
      <c r="F49">
        <v>593</v>
      </c>
      <c r="G49">
        <v>16</v>
      </c>
      <c r="H49" s="2">
        <v>1071.3599999999999</v>
      </c>
      <c r="I49" s="3" t="str">
        <f t="shared" si="0"/>
        <v>Summer Sale</v>
      </c>
      <c r="J49" s="3" t="str">
        <f t="shared" si="1"/>
        <v>Meta Ads</v>
      </c>
      <c r="K49" t="str">
        <f t="shared" si="2"/>
        <v>29-06-2026</v>
      </c>
      <c r="L49">
        <f t="shared" si="3"/>
        <v>13.340306313036979</v>
      </c>
      <c r="M49">
        <f t="shared" si="4"/>
        <v>5.0193750000000001</v>
      </c>
    </row>
    <row r="50" spans="1:13">
      <c r="A50">
        <v>5048</v>
      </c>
      <c r="B50" s="1">
        <v>46051</v>
      </c>
      <c r="C50" s="3" t="s">
        <v>14</v>
      </c>
      <c r="D50" s="3" t="s">
        <v>19</v>
      </c>
      <c r="E50" s="2">
        <v>206.28</v>
      </c>
      <c r="F50">
        <v>238</v>
      </c>
      <c r="G50">
        <v>6</v>
      </c>
      <c r="H50" s="2">
        <v>150.41999999999999</v>
      </c>
      <c r="I50" s="3" t="str">
        <f t="shared" si="0"/>
        <v>New Arrivals</v>
      </c>
      <c r="J50" s="3" t="str">
        <f t="shared" si="1"/>
        <v>Meta Ads</v>
      </c>
      <c r="K50" t="str">
        <f t="shared" si="2"/>
        <v>29-01-2026</v>
      </c>
      <c r="L50">
        <f t="shared" si="3"/>
        <v>0.72920302501454326</v>
      </c>
      <c r="M50">
        <f t="shared" si="4"/>
        <v>34.380000000000003</v>
      </c>
    </row>
    <row r="51" spans="1:13">
      <c r="A51">
        <v>5049</v>
      </c>
      <c r="B51" s="1">
        <v>46085</v>
      </c>
      <c r="C51" s="3" t="s">
        <v>16</v>
      </c>
      <c r="D51" s="3" t="s">
        <v>13</v>
      </c>
      <c r="E51" s="2">
        <v>217.67</v>
      </c>
      <c r="F51">
        <v>675</v>
      </c>
      <c r="G51">
        <v>32</v>
      </c>
      <c r="H51" s="2">
        <v>845.44</v>
      </c>
      <c r="I51" s="3" t="str">
        <f t="shared" si="0"/>
        <v>Abandoned Cart</v>
      </c>
      <c r="J51" s="3" t="str">
        <f t="shared" si="1"/>
        <v>Email</v>
      </c>
      <c r="K51" t="str">
        <f t="shared" si="2"/>
        <v>04-03-2026</v>
      </c>
      <c r="L51">
        <f t="shared" si="3"/>
        <v>3.8840446547526075</v>
      </c>
      <c r="M51">
        <f t="shared" si="4"/>
        <v>6.8021874999999996</v>
      </c>
    </row>
    <row r="52" spans="1:13">
      <c r="A52">
        <v>5050</v>
      </c>
      <c r="B52" s="1">
        <v>46117</v>
      </c>
      <c r="C52" s="3" t="s">
        <v>10</v>
      </c>
      <c r="D52" s="3" t="s">
        <v>20</v>
      </c>
      <c r="E52" s="2">
        <v>193.91</v>
      </c>
      <c r="F52">
        <v>415</v>
      </c>
      <c r="G52">
        <v>11</v>
      </c>
      <c r="H52" s="2">
        <v>844.91</v>
      </c>
      <c r="I52" s="3" t="str">
        <f t="shared" si="0"/>
        <v>Search - Brand</v>
      </c>
      <c r="J52" s="3" t="str">
        <f t="shared" si="1"/>
        <v>Google Ads</v>
      </c>
      <c r="K52" t="str">
        <f t="shared" si="2"/>
        <v>05-04-2026</v>
      </c>
      <c r="L52">
        <f t="shared" si="3"/>
        <v>4.3572275798050644</v>
      </c>
      <c r="M52">
        <f t="shared" si="4"/>
        <v>17.628181818181819</v>
      </c>
    </row>
    <row r="53" spans="1:13">
      <c r="A53">
        <v>5051</v>
      </c>
      <c r="B53" s="1">
        <v>46072</v>
      </c>
      <c r="C53" s="3" t="s">
        <v>10</v>
      </c>
      <c r="D53" s="3" t="s">
        <v>11</v>
      </c>
      <c r="E53" s="2">
        <v>72.319999999999993</v>
      </c>
      <c r="F53">
        <v>648</v>
      </c>
      <c r="G53">
        <v>25</v>
      </c>
      <c r="H53" s="2">
        <v>929.5</v>
      </c>
      <c r="I53" s="3" t="str">
        <f t="shared" si="0"/>
        <v>Search - Generic</v>
      </c>
      <c r="J53" s="3" t="str">
        <f t="shared" si="1"/>
        <v>Google Ads</v>
      </c>
      <c r="K53" t="str">
        <f t="shared" si="2"/>
        <v>19-02-2026</v>
      </c>
      <c r="L53">
        <f t="shared" si="3"/>
        <v>12.852599557522126</v>
      </c>
      <c r="M53">
        <f t="shared" si="4"/>
        <v>2.8927999999999998</v>
      </c>
    </row>
    <row r="54" spans="1:13">
      <c r="A54">
        <v>5052</v>
      </c>
      <c r="B54" s="1">
        <v>46123</v>
      </c>
      <c r="C54" s="3" t="s">
        <v>14</v>
      </c>
      <c r="D54" s="3" t="s">
        <v>15</v>
      </c>
      <c r="E54" s="2">
        <v>44.88</v>
      </c>
      <c r="F54">
        <v>71</v>
      </c>
      <c r="G54">
        <v>0</v>
      </c>
      <c r="H54" s="2">
        <v>0</v>
      </c>
      <c r="I54" s="3" t="str">
        <f t="shared" si="0"/>
        <v>Summer Sale</v>
      </c>
      <c r="J54" s="3" t="str">
        <f t="shared" si="1"/>
        <v>Meta Ads</v>
      </c>
      <c r="K54" t="str">
        <f t="shared" si="2"/>
        <v>11-04-2026</v>
      </c>
      <c r="L54">
        <f t="shared" si="3"/>
        <v>0</v>
      </c>
      <c r="M54">
        <f t="shared" si="4"/>
        <v>0</v>
      </c>
    </row>
    <row r="55" spans="1:13">
      <c r="A55">
        <v>5053</v>
      </c>
      <c r="B55" s="1">
        <v>46071</v>
      </c>
      <c r="C55" s="3" t="s">
        <v>8</v>
      </c>
      <c r="D55" s="3" t="s">
        <v>24</v>
      </c>
      <c r="E55" s="2">
        <v>338.93</v>
      </c>
      <c r="F55">
        <v>397</v>
      </c>
      <c r="G55">
        <v>31</v>
      </c>
      <c r="H55" s="2">
        <v>2759.62</v>
      </c>
      <c r="I55" s="3" t="str">
        <f t="shared" si="0"/>
        <v>Promo Blast</v>
      </c>
      <c r="J55" s="3" t="str">
        <f t="shared" si="1"/>
        <v>Email</v>
      </c>
      <c r="K55" t="str">
        <f t="shared" si="2"/>
        <v>18-02-2026</v>
      </c>
      <c r="L55">
        <f t="shared" si="3"/>
        <v>8.1421532469831526</v>
      </c>
      <c r="M55">
        <f t="shared" si="4"/>
        <v>10.933225806451613</v>
      </c>
    </row>
    <row r="56" spans="1:13">
      <c r="A56">
        <v>5054</v>
      </c>
      <c r="B56" s="1">
        <v>46054</v>
      </c>
      <c r="C56" s="3" t="s">
        <v>10</v>
      </c>
      <c r="D56" s="3" t="s">
        <v>18</v>
      </c>
      <c r="E56" s="2">
        <v>405.89</v>
      </c>
      <c r="F56">
        <v>99</v>
      </c>
      <c r="G56">
        <v>2</v>
      </c>
      <c r="H56" s="2">
        <v>111.56</v>
      </c>
      <c r="I56" s="3" t="str">
        <f t="shared" si="0"/>
        <v>Shopping</v>
      </c>
      <c r="J56" s="3" t="str">
        <f t="shared" si="1"/>
        <v>Google Ads</v>
      </c>
      <c r="K56" t="str">
        <f t="shared" si="2"/>
        <v>01-02-2026</v>
      </c>
      <c r="L56">
        <f t="shared" si="3"/>
        <v>0.27485279262854467</v>
      </c>
      <c r="M56">
        <f t="shared" si="4"/>
        <v>202.94499999999999</v>
      </c>
    </row>
    <row r="57" spans="1:13">
      <c r="A57">
        <v>5055</v>
      </c>
      <c r="B57" s="1">
        <v>46030</v>
      </c>
      <c r="C57" s="3" t="s">
        <v>14</v>
      </c>
      <c r="D57" s="3" t="s">
        <v>22</v>
      </c>
      <c r="E57" s="2">
        <v>36.729999999999997</v>
      </c>
      <c r="F57">
        <v>74</v>
      </c>
      <c r="G57">
        <v>1</v>
      </c>
      <c r="H57" s="2">
        <v>29.03</v>
      </c>
      <c r="I57" s="3" t="str">
        <f t="shared" si="0"/>
        <v>Brand Awareness</v>
      </c>
      <c r="J57" s="3" t="str">
        <f t="shared" si="1"/>
        <v>Meta Ads</v>
      </c>
      <c r="K57" t="str">
        <f t="shared" si="2"/>
        <v>08-01-2026</v>
      </c>
      <c r="L57">
        <f t="shared" si="3"/>
        <v>0.79036210182412203</v>
      </c>
      <c r="M57">
        <f t="shared" si="4"/>
        <v>36.729999999999997</v>
      </c>
    </row>
    <row r="58" spans="1:13">
      <c r="A58">
        <v>5056</v>
      </c>
      <c r="B58" s="1">
        <v>46180</v>
      </c>
      <c r="C58" s="3" t="s">
        <v>10</v>
      </c>
      <c r="D58" s="3" t="s">
        <v>18</v>
      </c>
      <c r="E58" s="2">
        <v>366.35</v>
      </c>
      <c r="F58">
        <v>479</v>
      </c>
      <c r="G58">
        <v>35</v>
      </c>
      <c r="H58" s="2">
        <v>2317.35</v>
      </c>
      <c r="I58" s="3" t="str">
        <f t="shared" si="0"/>
        <v>Shopping</v>
      </c>
      <c r="J58" s="3" t="str">
        <f t="shared" si="1"/>
        <v>Google Ads</v>
      </c>
      <c r="K58" t="str">
        <f t="shared" si="2"/>
        <v>07-06-2026</v>
      </c>
      <c r="L58">
        <f t="shared" si="3"/>
        <v>6.3255083936126653</v>
      </c>
      <c r="M58">
        <f t="shared" si="4"/>
        <v>10.467142857142857</v>
      </c>
    </row>
    <row r="59" spans="1:13">
      <c r="A59">
        <v>5057</v>
      </c>
      <c r="B59" s="1">
        <v>46121</v>
      </c>
      <c r="C59" s="3" t="s">
        <v>10</v>
      </c>
      <c r="D59" s="3" t="s">
        <v>12</v>
      </c>
      <c r="E59" s="2">
        <v>24.18</v>
      </c>
      <c r="F59">
        <v>766</v>
      </c>
      <c r="G59">
        <v>24</v>
      </c>
      <c r="H59" s="2">
        <v>1679.76</v>
      </c>
      <c r="I59" s="3" t="str">
        <f t="shared" si="0"/>
        <v>Display</v>
      </c>
      <c r="J59" s="3" t="str">
        <f t="shared" si="1"/>
        <v>Google Ads</v>
      </c>
      <c r="K59" t="str">
        <f t="shared" si="2"/>
        <v>09-04-2026</v>
      </c>
      <c r="L59">
        <f t="shared" si="3"/>
        <v>69.468982630272947</v>
      </c>
      <c r="M59">
        <f t="shared" si="4"/>
        <v>1.0075000000000001</v>
      </c>
    </row>
    <row r="60" spans="1:13">
      <c r="A60">
        <v>5058</v>
      </c>
      <c r="B60" s="1">
        <v>46175</v>
      </c>
      <c r="C60" s="3" t="s">
        <v>8</v>
      </c>
      <c r="D60" s="3" t="s">
        <v>13</v>
      </c>
      <c r="E60" s="2">
        <v>215.72</v>
      </c>
      <c r="F60">
        <v>675</v>
      </c>
      <c r="G60">
        <v>21</v>
      </c>
      <c r="H60" s="2">
        <v>1279.32</v>
      </c>
      <c r="I60" s="3" t="str">
        <f t="shared" si="0"/>
        <v>Abandoned Cart</v>
      </c>
      <c r="J60" s="3" t="str">
        <f t="shared" si="1"/>
        <v>Email</v>
      </c>
      <c r="K60" t="str">
        <f t="shared" si="2"/>
        <v>02-06-2026</v>
      </c>
      <c r="L60">
        <f t="shared" si="3"/>
        <v>5.9304654181346184</v>
      </c>
      <c r="M60">
        <f t="shared" si="4"/>
        <v>10.272380952380953</v>
      </c>
    </row>
    <row r="61" spans="1:13">
      <c r="A61">
        <v>5059</v>
      </c>
      <c r="B61" s="1">
        <v>46044</v>
      </c>
      <c r="C61" s="3" t="s">
        <v>14</v>
      </c>
      <c r="D61" s="3" t="s">
        <v>22</v>
      </c>
      <c r="E61" s="2">
        <v>234.54</v>
      </c>
      <c r="F61">
        <v>249</v>
      </c>
      <c r="G61">
        <v>3</v>
      </c>
      <c r="H61" s="2">
        <v>164.88</v>
      </c>
      <c r="I61" s="3" t="str">
        <f t="shared" si="0"/>
        <v>Brand Awareness</v>
      </c>
      <c r="J61" s="3" t="str">
        <f t="shared" si="1"/>
        <v>Meta Ads</v>
      </c>
      <c r="K61" t="str">
        <f t="shared" si="2"/>
        <v>22-01-2026</v>
      </c>
      <c r="L61">
        <f t="shared" si="3"/>
        <v>0.70299309286262468</v>
      </c>
      <c r="M61">
        <f t="shared" si="4"/>
        <v>78.179999999999993</v>
      </c>
    </row>
    <row r="62" spans="1:13">
      <c r="A62">
        <v>5060</v>
      </c>
      <c r="B62" s="1">
        <v>46098</v>
      </c>
      <c r="C62" s="3" t="s">
        <v>10</v>
      </c>
      <c r="D62" s="3" t="s">
        <v>18</v>
      </c>
      <c r="E62" s="2">
        <v>115.61</v>
      </c>
      <c r="F62">
        <v>263</v>
      </c>
      <c r="G62">
        <v>7</v>
      </c>
      <c r="H62" s="2">
        <v>282.17</v>
      </c>
      <c r="I62" s="3" t="str">
        <f t="shared" si="0"/>
        <v>Shopping</v>
      </c>
      <c r="J62" s="3" t="str">
        <f t="shared" si="1"/>
        <v>Google Ads</v>
      </c>
      <c r="K62" t="str">
        <f t="shared" si="2"/>
        <v>17-03-2026</v>
      </c>
      <c r="L62">
        <f t="shared" si="3"/>
        <v>2.4407058212957358</v>
      </c>
      <c r="M62">
        <f t="shared" si="4"/>
        <v>16.515714285714285</v>
      </c>
    </row>
    <row r="63" spans="1:13">
      <c r="A63">
        <v>5061</v>
      </c>
      <c r="B63" s="1">
        <v>46085</v>
      </c>
      <c r="C63" s="3" t="s">
        <v>8</v>
      </c>
      <c r="D63" s="3" t="s">
        <v>17</v>
      </c>
      <c r="E63" s="2">
        <v>69.12</v>
      </c>
      <c r="F63">
        <v>496</v>
      </c>
      <c r="G63">
        <v>41</v>
      </c>
      <c r="H63" s="2">
        <v>1640.82</v>
      </c>
      <c r="I63" s="3" t="str">
        <f t="shared" si="0"/>
        <v>Newsletter</v>
      </c>
      <c r="J63" s="3" t="str">
        <f t="shared" si="1"/>
        <v>Email</v>
      </c>
      <c r="K63" t="str">
        <f t="shared" si="2"/>
        <v>04-03-2026</v>
      </c>
      <c r="L63">
        <f t="shared" si="3"/>
        <v>23.738715277777775</v>
      </c>
      <c r="M63">
        <f t="shared" si="4"/>
        <v>1.6858536585365855</v>
      </c>
    </row>
    <row r="64" spans="1:13">
      <c r="A64">
        <v>5062</v>
      </c>
      <c r="B64" s="1">
        <v>46176</v>
      </c>
      <c r="C64" s="3" t="s">
        <v>14</v>
      </c>
      <c r="D64" s="3" t="s">
        <v>19</v>
      </c>
      <c r="E64" s="2">
        <v>309.45999999999998</v>
      </c>
      <c r="F64">
        <v>690</v>
      </c>
      <c r="G64">
        <v>19</v>
      </c>
      <c r="H64" s="2">
        <v>605.72</v>
      </c>
      <c r="I64" s="3" t="str">
        <f t="shared" si="0"/>
        <v>New Arrivals</v>
      </c>
      <c r="J64" s="3" t="str">
        <f t="shared" si="1"/>
        <v>Meta Ads</v>
      </c>
      <c r="K64" t="str">
        <f t="shared" si="2"/>
        <v>03-06-2026</v>
      </c>
      <c r="L64">
        <f t="shared" si="3"/>
        <v>1.9573450526723972</v>
      </c>
      <c r="M64">
        <f t="shared" si="4"/>
        <v>16.28736842105263</v>
      </c>
    </row>
    <row r="65" spans="1:13">
      <c r="A65">
        <v>5063</v>
      </c>
      <c r="B65" s="1">
        <v>46075</v>
      </c>
      <c r="C65" s="3" t="s">
        <v>14</v>
      </c>
      <c r="D65" s="3" t="s">
        <v>23</v>
      </c>
      <c r="E65" s="2">
        <v>216.32</v>
      </c>
      <c r="F65">
        <v>390</v>
      </c>
      <c r="G65">
        <v>5</v>
      </c>
      <c r="H65" s="2">
        <v>226.45</v>
      </c>
      <c r="I65" s="3" t="str">
        <f t="shared" si="0"/>
        <v>Retargeting</v>
      </c>
      <c r="J65" s="3" t="str">
        <f t="shared" si="1"/>
        <v>Meta Ads</v>
      </c>
      <c r="K65" t="str">
        <f t="shared" si="2"/>
        <v>22-02-2026</v>
      </c>
      <c r="L65">
        <f t="shared" si="3"/>
        <v>1.046828772189349</v>
      </c>
      <c r="M65">
        <f t="shared" si="4"/>
        <v>43.263999999999996</v>
      </c>
    </row>
    <row r="66" spans="1:13">
      <c r="A66">
        <v>5064</v>
      </c>
      <c r="B66" s="1">
        <v>46124</v>
      </c>
      <c r="C66" s="3" t="s">
        <v>8</v>
      </c>
      <c r="D66" s="3" t="s">
        <v>17</v>
      </c>
      <c r="E66" s="2">
        <v>150.16</v>
      </c>
      <c r="F66">
        <v>300</v>
      </c>
      <c r="G66">
        <v>21</v>
      </c>
      <c r="H66" s="2">
        <v>1095.3599999999999</v>
      </c>
      <c r="I66" s="3" t="str">
        <f t="shared" ref="I66:I129" si="5">TRIM(D66)</f>
        <v>Newsletter</v>
      </c>
      <c r="J66" s="3" t="str">
        <f t="shared" ref="J66:J129" si="6">TRIM(PROPER(C66))</f>
        <v>Email</v>
      </c>
      <c r="K66" t="str">
        <f t="shared" si="2"/>
        <v>12-04-2026</v>
      </c>
      <c r="L66">
        <f t="shared" si="3"/>
        <v>7.2946190729888114</v>
      </c>
      <c r="M66">
        <f t="shared" si="4"/>
        <v>7.1504761904761907</v>
      </c>
    </row>
    <row r="67" spans="1:13">
      <c r="A67">
        <v>5065</v>
      </c>
      <c r="B67" s="1">
        <v>46116</v>
      </c>
      <c r="C67" s="3" t="s">
        <v>21</v>
      </c>
      <c r="D67" s="3" t="s">
        <v>12</v>
      </c>
      <c r="E67" s="2">
        <v>452.78</v>
      </c>
      <c r="F67">
        <v>443</v>
      </c>
      <c r="G67">
        <v>10</v>
      </c>
      <c r="H67" s="2">
        <v>308.8</v>
      </c>
      <c r="I67" s="3" t="str">
        <f t="shared" si="5"/>
        <v>Display</v>
      </c>
      <c r="J67" s="3" t="str">
        <f t="shared" si="6"/>
        <v>Google Ads</v>
      </c>
      <c r="K67" t="str">
        <f t="shared" ref="K67:K130" si="7">TEXT(B67,"dd-mm-yyyy")</f>
        <v>04-04-2026</v>
      </c>
      <c r="L67">
        <f t="shared" ref="L67:L130" si="8">IF(E67=0,0,H67/E67)</f>
        <v>0.68200892265559443</v>
      </c>
      <c r="M67">
        <f t="shared" ref="M67:M130" si="9">IF(G67=0,0,E67/G67)</f>
        <v>45.277999999999999</v>
      </c>
    </row>
    <row r="68" spans="1:13">
      <c r="A68">
        <v>5066</v>
      </c>
      <c r="B68" s="1">
        <v>46059</v>
      </c>
      <c r="C68" s="3" t="s">
        <v>14</v>
      </c>
      <c r="D68" s="3" t="s">
        <v>19</v>
      </c>
      <c r="E68" s="2">
        <v>187.01</v>
      </c>
      <c r="F68">
        <v>175</v>
      </c>
      <c r="G68">
        <v>3</v>
      </c>
      <c r="H68" s="2">
        <v>255.48</v>
      </c>
      <c r="I68" s="3" t="str">
        <f t="shared" si="5"/>
        <v>New Arrivals</v>
      </c>
      <c r="J68" s="3" t="str">
        <f t="shared" si="6"/>
        <v>Meta Ads</v>
      </c>
      <c r="K68" t="str">
        <f t="shared" si="7"/>
        <v>06-02-2026</v>
      </c>
      <c r="L68">
        <f t="shared" si="8"/>
        <v>1.366130153467729</v>
      </c>
      <c r="M68">
        <f t="shared" si="9"/>
        <v>62.336666666666666</v>
      </c>
    </row>
    <row r="69" spans="1:13">
      <c r="A69">
        <v>5067</v>
      </c>
      <c r="B69" s="1">
        <v>46055</v>
      </c>
      <c r="C69" s="3" t="s">
        <v>10</v>
      </c>
      <c r="D69" s="3" t="s">
        <v>18</v>
      </c>
      <c r="E69" s="2">
        <v>464.56</v>
      </c>
      <c r="F69">
        <v>407</v>
      </c>
      <c r="G69">
        <v>9</v>
      </c>
      <c r="H69" s="2">
        <v>641.70000000000005</v>
      </c>
      <c r="I69" s="3" t="str">
        <f t="shared" si="5"/>
        <v>Shopping</v>
      </c>
      <c r="J69" s="3" t="str">
        <f t="shared" si="6"/>
        <v>Google Ads</v>
      </c>
      <c r="K69" t="str">
        <f t="shared" si="7"/>
        <v>02-02-2026</v>
      </c>
      <c r="L69">
        <f t="shared" si="8"/>
        <v>1.3813070432236956</v>
      </c>
      <c r="M69">
        <f t="shared" si="9"/>
        <v>51.617777777777775</v>
      </c>
    </row>
    <row r="70" spans="1:13">
      <c r="A70">
        <v>5068</v>
      </c>
      <c r="B70" s="1">
        <v>46180</v>
      </c>
      <c r="C70" s="3" t="s">
        <v>21</v>
      </c>
      <c r="D70" s="3" t="s">
        <v>11</v>
      </c>
      <c r="E70" s="2">
        <v>470.5</v>
      </c>
      <c r="F70">
        <v>170</v>
      </c>
      <c r="G70">
        <v>6</v>
      </c>
      <c r="H70" s="2">
        <v>198</v>
      </c>
      <c r="I70" s="3" t="str">
        <f t="shared" si="5"/>
        <v>Search - Generic</v>
      </c>
      <c r="J70" s="3" t="str">
        <f t="shared" si="6"/>
        <v>Google Ads</v>
      </c>
      <c r="K70" t="str">
        <f t="shared" si="7"/>
        <v>07-06-2026</v>
      </c>
      <c r="L70">
        <f t="shared" si="8"/>
        <v>0.4208289054197662</v>
      </c>
      <c r="M70">
        <f t="shared" si="9"/>
        <v>78.416666666666671</v>
      </c>
    </row>
    <row r="71" spans="1:13">
      <c r="A71">
        <v>5069</v>
      </c>
      <c r="B71" s="1">
        <v>46195</v>
      </c>
      <c r="C71" s="3" t="s">
        <v>8</v>
      </c>
      <c r="D71" s="3" t="s">
        <v>9</v>
      </c>
      <c r="E71" s="2">
        <v>284.02</v>
      </c>
      <c r="F71">
        <v>652</v>
      </c>
      <c r="G71">
        <v>49</v>
      </c>
      <c r="H71" s="2">
        <v>3292.31</v>
      </c>
      <c r="I71" s="3" t="str">
        <f t="shared" si="5"/>
        <v>Welcome Series</v>
      </c>
      <c r="J71" s="3" t="str">
        <f t="shared" si="6"/>
        <v>Email</v>
      </c>
      <c r="K71" t="str">
        <f t="shared" si="7"/>
        <v>22-06-2026</v>
      </c>
      <c r="L71">
        <f t="shared" si="8"/>
        <v>11.591824519400042</v>
      </c>
      <c r="M71">
        <f t="shared" si="9"/>
        <v>5.7963265306122445</v>
      </c>
    </row>
    <row r="72" spans="1:13">
      <c r="A72">
        <v>5070</v>
      </c>
      <c r="B72" s="1">
        <v>46068</v>
      </c>
      <c r="C72" s="3" t="s">
        <v>14</v>
      </c>
      <c r="D72" s="3" t="s">
        <v>22</v>
      </c>
      <c r="E72" s="2">
        <v>316.92</v>
      </c>
      <c r="F72">
        <v>479</v>
      </c>
      <c r="G72">
        <v>12</v>
      </c>
      <c r="H72" s="2">
        <v>932.16</v>
      </c>
      <c r="I72" s="3" t="str">
        <f t="shared" si="5"/>
        <v>Brand Awareness</v>
      </c>
      <c r="J72" s="3" t="str">
        <f t="shared" si="6"/>
        <v>Meta Ads</v>
      </c>
      <c r="K72" t="str">
        <f t="shared" si="7"/>
        <v>15-02-2026</v>
      </c>
      <c r="L72">
        <f t="shared" si="8"/>
        <v>2.9413101098068912</v>
      </c>
      <c r="M72">
        <f t="shared" si="9"/>
        <v>26.41</v>
      </c>
    </row>
    <row r="73" spans="1:13">
      <c r="A73">
        <v>5071</v>
      </c>
      <c r="B73" s="1">
        <v>46152</v>
      </c>
      <c r="C73" s="3" t="s">
        <v>14</v>
      </c>
      <c r="D73" s="3" t="s">
        <v>23</v>
      </c>
      <c r="E73" s="2">
        <v>372.07</v>
      </c>
      <c r="F73">
        <v>747</v>
      </c>
      <c r="G73">
        <v>15</v>
      </c>
      <c r="H73" s="2">
        <v>427.95</v>
      </c>
      <c r="I73" s="3" t="str">
        <f t="shared" si="5"/>
        <v>Retargeting</v>
      </c>
      <c r="J73" s="3" t="str">
        <f t="shared" si="6"/>
        <v>Meta Ads</v>
      </c>
      <c r="K73" t="str">
        <f t="shared" si="7"/>
        <v>10-05-2026</v>
      </c>
      <c r="L73">
        <f t="shared" si="8"/>
        <v>1.1501867928078049</v>
      </c>
      <c r="M73">
        <f t="shared" si="9"/>
        <v>24.804666666666666</v>
      </c>
    </row>
    <row r="74" spans="1:13">
      <c r="A74">
        <v>5072</v>
      </c>
      <c r="B74" s="1">
        <v>46180</v>
      </c>
      <c r="C74" s="3" t="s">
        <v>14</v>
      </c>
      <c r="D74" s="3" t="s">
        <v>23</v>
      </c>
      <c r="E74" s="2">
        <v>479.19</v>
      </c>
      <c r="F74">
        <v>179</v>
      </c>
      <c r="G74">
        <v>4</v>
      </c>
      <c r="H74" s="2">
        <v>287.48</v>
      </c>
      <c r="I74" s="3" t="str">
        <f t="shared" si="5"/>
        <v>Retargeting</v>
      </c>
      <c r="J74" s="3" t="str">
        <f t="shared" si="6"/>
        <v>Meta Ads</v>
      </c>
      <c r="K74" t="str">
        <f t="shared" si="7"/>
        <v>07-06-2026</v>
      </c>
      <c r="L74">
        <f t="shared" si="8"/>
        <v>0.59992904693336679</v>
      </c>
      <c r="M74">
        <f t="shared" si="9"/>
        <v>119.7975</v>
      </c>
    </row>
    <row r="75" spans="1:13">
      <c r="A75">
        <v>5073</v>
      </c>
      <c r="B75" s="1">
        <v>46180</v>
      </c>
      <c r="C75" s="3" t="s">
        <v>10</v>
      </c>
      <c r="D75" s="3" t="s">
        <v>11</v>
      </c>
      <c r="E75" s="2">
        <v>250.45</v>
      </c>
      <c r="F75">
        <v>616</v>
      </c>
      <c r="G75">
        <v>18</v>
      </c>
      <c r="H75" s="2">
        <v>1042.02</v>
      </c>
      <c r="I75" s="3" t="str">
        <f t="shared" si="5"/>
        <v>Search - Generic</v>
      </c>
      <c r="J75" s="3" t="str">
        <f t="shared" si="6"/>
        <v>Google Ads</v>
      </c>
      <c r="K75" t="str">
        <f t="shared" si="7"/>
        <v>07-06-2026</v>
      </c>
      <c r="L75">
        <f t="shared" si="8"/>
        <v>4.1605909363146338</v>
      </c>
      <c r="M75">
        <f t="shared" si="9"/>
        <v>13.913888888888888</v>
      </c>
    </row>
    <row r="76" spans="1:13">
      <c r="A76">
        <v>5074</v>
      </c>
      <c r="B76" s="1">
        <v>46196</v>
      </c>
      <c r="C76" s="3" t="s">
        <v>10</v>
      </c>
      <c r="D76" s="3" t="s">
        <v>11</v>
      </c>
      <c r="E76" s="2">
        <v>388.77</v>
      </c>
      <c r="F76">
        <v>59</v>
      </c>
      <c r="G76">
        <v>2</v>
      </c>
      <c r="H76" s="2">
        <v>96.78</v>
      </c>
      <c r="I76" s="3" t="str">
        <f t="shared" si="5"/>
        <v>Search - Generic</v>
      </c>
      <c r="J76" s="3" t="str">
        <f t="shared" si="6"/>
        <v>Google Ads</v>
      </c>
      <c r="K76" t="str">
        <f t="shared" si="7"/>
        <v>23-06-2026</v>
      </c>
      <c r="L76">
        <f t="shared" si="8"/>
        <v>0.24893896133960955</v>
      </c>
      <c r="M76">
        <f t="shared" si="9"/>
        <v>194.38499999999999</v>
      </c>
    </row>
    <row r="77" spans="1:13">
      <c r="A77">
        <v>5075</v>
      </c>
      <c r="B77" s="1">
        <v>46160</v>
      </c>
      <c r="C77" s="3" t="s">
        <v>8</v>
      </c>
      <c r="D77" s="3" t="s">
        <v>9</v>
      </c>
      <c r="E77" s="2">
        <v>297.13</v>
      </c>
      <c r="F77">
        <v>378</v>
      </c>
      <c r="G77">
        <v>18</v>
      </c>
      <c r="H77" s="2">
        <v>545.22</v>
      </c>
      <c r="I77" s="3" t="str">
        <f t="shared" si="5"/>
        <v>Welcome Series</v>
      </c>
      <c r="J77" s="3" t="str">
        <f t="shared" si="6"/>
        <v>Email</v>
      </c>
      <c r="K77" t="str">
        <f t="shared" si="7"/>
        <v>18-05-2026</v>
      </c>
      <c r="L77">
        <f t="shared" si="8"/>
        <v>1.8349543970652578</v>
      </c>
      <c r="M77">
        <f t="shared" si="9"/>
        <v>16.507222222222222</v>
      </c>
    </row>
    <row r="78" spans="1:13">
      <c r="A78">
        <v>5076</v>
      </c>
      <c r="B78" s="1">
        <v>46102</v>
      </c>
      <c r="C78" s="3" t="s">
        <v>8</v>
      </c>
      <c r="D78" s="3" t="s">
        <v>17</v>
      </c>
      <c r="E78" s="2">
        <v>159.66999999999999</v>
      </c>
      <c r="F78">
        <v>650</v>
      </c>
      <c r="G78">
        <v>36</v>
      </c>
      <c r="H78" s="2">
        <v>2099.52</v>
      </c>
      <c r="I78" s="3" t="str">
        <f t="shared" si="5"/>
        <v>Newsletter</v>
      </c>
      <c r="J78" s="3" t="str">
        <f t="shared" si="6"/>
        <v>Email</v>
      </c>
      <c r="K78" t="str">
        <f t="shared" si="7"/>
        <v>21-03-2026</v>
      </c>
      <c r="L78">
        <f t="shared" si="8"/>
        <v>13.149120060124007</v>
      </c>
      <c r="M78">
        <f t="shared" si="9"/>
        <v>4.4352777777777774</v>
      </c>
    </row>
    <row r="79" spans="1:13">
      <c r="A79">
        <v>5077</v>
      </c>
      <c r="B79" s="1">
        <v>46023</v>
      </c>
      <c r="C79" s="3" t="s">
        <v>10</v>
      </c>
      <c r="D79" s="3" t="s">
        <v>20</v>
      </c>
      <c r="E79" s="2">
        <v>218.35</v>
      </c>
      <c r="F79">
        <v>318</v>
      </c>
      <c r="G79">
        <v>13</v>
      </c>
      <c r="H79" s="2">
        <v>497.51</v>
      </c>
      <c r="I79" s="3" t="str">
        <f t="shared" si="5"/>
        <v>Search - Brand</v>
      </c>
      <c r="J79" s="3" t="str">
        <f t="shared" si="6"/>
        <v>Google Ads</v>
      </c>
      <c r="K79" t="str">
        <f t="shared" si="7"/>
        <v>01-01-2026</v>
      </c>
      <c r="L79">
        <f t="shared" si="8"/>
        <v>2.2784978245935426</v>
      </c>
      <c r="M79">
        <f t="shared" si="9"/>
        <v>16.796153846153846</v>
      </c>
    </row>
    <row r="80" spans="1:13">
      <c r="A80">
        <v>5078</v>
      </c>
      <c r="B80" s="1">
        <v>46061</v>
      </c>
      <c r="C80" s="3" t="s">
        <v>14</v>
      </c>
      <c r="D80" s="3" t="s">
        <v>15</v>
      </c>
      <c r="E80" s="2">
        <v>395.43</v>
      </c>
      <c r="F80">
        <v>421</v>
      </c>
      <c r="G80">
        <v>11</v>
      </c>
      <c r="H80" s="2">
        <v>966.46</v>
      </c>
      <c r="I80" s="3" t="str">
        <f t="shared" si="5"/>
        <v>Summer Sale</v>
      </c>
      <c r="J80" s="3" t="str">
        <f t="shared" si="6"/>
        <v>Meta Ads</v>
      </c>
      <c r="K80" t="str">
        <f t="shared" si="7"/>
        <v>08-02-2026</v>
      </c>
      <c r="L80">
        <f t="shared" si="8"/>
        <v>2.4440735401967477</v>
      </c>
      <c r="M80">
        <f t="shared" si="9"/>
        <v>35.948181818181816</v>
      </c>
    </row>
    <row r="81" spans="1:13">
      <c r="A81">
        <v>5079</v>
      </c>
      <c r="B81" s="1">
        <v>46177</v>
      </c>
      <c r="C81" s="3" t="s">
        <v>25</v>
      </c>
      <c r="D81" s="3" t="s">
        <v>23</v>
      </c>
      <c r="E81" s="2">
        <v>275.13</v>
      </c>
      <c r="F81">
        <v>425</v>
      </c>
      <c r="G81">
        <v>5</v>
      </c>
      <c r="H81" s="2">
        <v>176.75</v>
      </c>
      <c r="I81" s="3" t="str">
        <f t="shared" si="5"/>
        <v>Retargeting</v>
      </c>
      <c r="J81" s="3" t="str">
        <f t="shared" si="6"/>
        <v>Meta Ads</v>
      </c>
      <c r="K81" t="str">
        <f t="shared" si="7"/>
        <v>04-06-2026</v>
      </c>
      <c r="L81">
        <f t="shared" si="8"/>
        <v>0.64242358157961688</v>
      </c>
      <c r="M81">
        <f t="shared" si="9"/>
        <v>55.025999999999996</v>
      </c>
    </row>
    <row r="82" spans="1:13">
      <c r="A82">
        <v>5080</v>
      </c>
      <c r="B82" s="1">
        <v>46128</v>
      </c>
      <c r="C82" s="3" t="s">
        <v>8</v>
      </c>
      <c r="D82" s="3" t="s">
        <v>24</v>
      </c>
      <c r="E82" s="2">
        <v>168.5</v>
      </c>
      <c r="F82">
        <v>317</v>
      </c>
      <c r="G82">
        <v>21</v>
      </c>
      <c r="H82" s="2">
        <v>1881.81</v>
      </c>
      <c r="I82" s="3" t="str">
        <f t="shared" si="5"/>
        <v>Promo Blast</v>
      </c>
      <c r="J82" s="3" t="str">
        <f t="shared" si="6"/>
        <v>Email</v>
      </c>
      <c r="K82" t="str">
        <f t="shared" si="7"/>
        <v>16-04-2026</v>
      </c>
      <c r="L82">
        <f t="shared" si="8"/>
        <v>11.168011869436201</v>
      </c>
      <c r="M82">
        <f t="shared" si="9"/>
        <v>8.0238095238095237</v>
      </c>
    </row>
    <row r="83" spans="1:13">
      <c r="A83">
        <v>5081</v>
      </c>
      <c r="B83" s="1">
        <v>46142</v>
      </c>
      <c r="C83" s="3" t="s">
        <v>8</v>
      </c>
      <c r="D83" s="3" t="s">
        <v>24</v>
      </c>
      <c r="E83" s="2">
        <v>145.47999999999999</v>
      </c>
      <c r="F83">
        <v>669</v>
      </c>
      <c r="G83">
        <v>21</v>
      </c>
      <c r="H83" s="2">
        <v>983.01</v>
      </c>
      <c r="I83" s="3" t="str">
        <f t="shared" si="5"/>
        <v>Promo Blast</v>
      </c>
      <c r="J83" s="3" t="str">
        <f t="shared" si="6"/>
        <v>Email</v>
      </c>
      <c r="K83" t="str">
        <f t="shared" si="7"/>
        <v>30-04-2026</v>
      </c>
      <c r="L83">
        <f t="shared" si="8"/>
        <v>6.7570112730272207</v>
      </c>
      <c r="M83">
        <f t="shared" si="9"/>
        <v>6.9276190476190473</v>
      </c>
    </row>
    <row r="84" spans="1:13">
      <c r="A84">
        <v>5082</v>
      </c>
      <c r="B84" s="1">
        <v>46164</v>
      </c>
      <c r="C84" s="3" t="s">
        <v>8</v>
      </c>
      <c r="D84" s="3" t="s">
        <v>9</v>
      </c>
      <c r="E84" s="2">
        <v>449.21</v>
      </c>
      <c r="F84">
        <v>97</v>
      </c>
      <c r="G84">
        <v>8</v>
      </c>
      <c r="H84" s="2">
        <v>207.92</v>
      </c>
      <c r="I84" s="3" t="str">
        <f t="shared" si="5"/>
        <v>Welcome Series</v>
      </c>
      <c r="J84" s="3" t="str">
        <f t="shared" si="6"/>
        <v>Email</v>
      </c>
      <c r="K84" t="str">
        <f t="shared" si="7"/>
        <v>22-05-2026</v>
      </c>
      <c r="L84">
        <f t="shared" si="8"/>
        <v>0.46285701564969611</v>
      </c>
      <c r="M84">
        <f t="shared" si="9"/>
        <v>56.151249999999997</v>
      </c>
    </row>
    <row r="85" spans="1:13">
      <c r="A85">
        <v>5083</v>
      </c>
      <c r="B85" s="1">
        <v>46106</v>
      </c>
      <c r="C85" s="3" t="s">
        <v>10</v>
      </c>
      <c r="D85" s="3" t="s">
        <v>18</v>
      </c>
      <c r="E85" s="2">
        <v>428.93</v>
      </c>
      <c r="F85">
        <v>719</v>
      </c>
      <c r="G85">
        <v>42</v>
      </c>
      <c r="H85" s="2">
        <v>838.2</v>
      </c>
      <c r="I85" s="3" t="str">
        <f t="shared" si="5"/>
        <v>Shopping</v>
      </c>
      <c r="J85" s="3" t="str">
        <f t="shared" si="6"/>
        <v>Google Ads</v>
      </c>
      <c r="K85" t="str">
        <f t="shared" si="7"/>
        <v>25-03-2026</v>
      </c>
      <c r="L85">
        <f t="shared" si="8"/>
        <v>1.954165015270557</v>
      </c>
      <c r="M85">
        <f t="shared" si="9"/>
        <v>10.212619047619048</v>
      </c>
    </row>
    <row r="86" spans="1:13">
      <c r="A86">
        <v>5084</v>
      </c>
      <c r="B86" s="1">
        <v>46025</v>
      </c>
      <c r="C86" s="3" t="s">
        <v>25</v>
      </c>
      <c r="D86" s="3" t="s">
        <v>22</v>
      </c>
      <c r="E86" s="2">
        <v>457.18</v>
      </c>
      <c r="F86">
        <v>158</v>
      </c>
      <c r="G86">
        <v>1</v>
      </c>
      <c r="H86" s="2">
        <v>32.270000000000003</v>
      </c>
      <c r="I86" s="3" t="str">
        <f t="shared" si="5"/>
        <v>Brand Awareness</v>
      </c>
      <c r="J86" s="3" t="str">
        <f t="shared" si="6"/>
        <v>Meta Ads</v>
      </c>
      <c r="K86" t="str">
        <f t="shared" si="7"/>
        <v>03-01-2026</v>
      </c>
      <c r="L86">
        <f t="shared" si="8"/>
        <v>7.0584889977689316E-2</v>
      </c>
      <c r="M86">
        <f t="shared" si="9"/>
        <v>457.18</v>
      </c>
    </row>
    <row r="87" spans="1:13">
      <c r="A87">
        <v>5085</v>
      </c>
      <c r="B87" s="1">
        <v>46058</v>
      </c>
      <c r="C87" s="3" t="s">
        <v>16</v>
      </c>
      <c r="D87" s="3" t="s">
        <v>17</v>
      </c>
      <c r="E87" s="2">
        <v>303.43</v>
      </c>
      <c r="F87">
        <v>382</v>
      </c>
      <c r="G87">
        <v>16</v>
      </c>
      <c r="H87" s="2">
        <v>1392.8</v>
      </c>
      <c r="I87" s="3" t="str">
        <f t="shared" si="5"/>
        <v>Newsletter</v>
      </c>
      <c r="J87" s="3" t="str">
        <f t="shared" si="6"/>
        <v>Email</v>
      </c>
      <c r="K87" t="str">
        <f t="shared" si="7"/>
        <v>05-02-2026</v>
      </c>
      <c r="L87">
        <f t="shared" si="8"/>
        <v>4.5901855452657943</v>
      </c>
      <c r="M87">
        <f t="shared" si="9"/>
        <v>18.964375</v>
      </c>
    </row>
    <row r="88" spans="1:13">
      <c r="A88">
        <v>5086</v>
      </c>
      <c r="B88" s="1">
        <v>46121</v>
      </c>
      <c r="C88" s="3" t="s">
        <v>25</v>
      </c>
      <c r="D88" s="3" t="s">
        <v>23</v>
      </c>
      <c r="E88" s="2">
        <v>475.64</v>
      </c>
      <c r="F88">
        <v>781</v>
      </c>
      <c r="G88">
        <v>17</v>
      </c>
      <c r="H88" s="2">
        <v>1336.71</v>
      </c>
      <c r="I88" s="3" t="str">
        <f t="shared" si="5"/>
        <v>Retargeting</v>
      </c>
      <c r="J88" s="3" t="str">
        <f t="shared" si="6"/>
        <v>Meta Ads</v>
      </c>
      <c r="K88" t="str">
        <f t="shared" si="7"/>
        <v>09-04-2026</v>
      </c>
      <c r="L88">
        <f t="shared" si="8"/>
        <v>2.8103397527541838</v>
      </c>
      <c r="M88">
        <f t="shared" si="9"/>
        <v>27.978823529411763</v>
      </c>
    </row>
    <row r="89" spans="1:13">
      <c r="A89">
        <v>5087</v>
      </c>
      <c r="B89" s="1">
        <v>46075</v>
      </c>
      <c r="C89" s="3" t="s">
        <v>21</v>
      </c>
      <c r="D89" s="3" t="s">
        <v>18</v>
      </c>
      <c r="E89" s="2">
        <v>143.22</v>
      </c>
      <c r="F89">
        <v>299</v>
      </c>
      <c r="G89">
        <v>6</v>
      </c>
      <c r="H89" s="2">
        <v>446.34</v>
      </c>
      <c r="I89" s="3" t="str">
        <f t="shared" si="5"/>
        <v>Shopping</v>
      </c>
      <c r="J89" s="3" t="str">
        <f t="shared" si="6"/>
        <v>Google Ads</v>
      </c>
      <c r="K89" t="str">
        <f t="shared" si="7"/>
        <v>22-02-2026</v>
      </c>
      <c r="L89">
        <f t="shared" si="8"/>
        <v>3.11646418098031</v>
      </c>
      <c r="M89">
        <f t="shared" si="9"/>
        <v>23.87</v>
      </c>
    </row>
    <row r="90" spans="1:13">
      <c r="A90">
        <v>5088</v>
      </c>
      <c r="B90" s="1">
        <v>46030</v>
      </c>
      <c r="C90" s="3" t="s">
        <v>25</v>
      </c>
      <c r="D90" s="3" t="s">
        <v>22</v>
      </c>
      <c r="E90" s="2">
        <v>245.09</v>
      </c>
      <c r="F90">
        <v>59</v>
      </c>
      <c r="G90">
        <v>1</v>
      </c>
      <c r="H90" s="2">
        <v>39.08</v>
      </c>
      <c r="I90" s="3" t="str">
        <f t="shared" si="5"/>
        <v>Brand Awareness</v>
      </c>
      <c r="J90" s="3" t="str">
        <f t="shared" si="6"/>
        <v>Meta Ads</v>
      </c>
      <c r="K90" t="str">
        <f t="shared" si="7"/>
        <v>08-01-2026</v>
      </c>
      <c r="L90">
        <f t="shared" si="8"/>
        <v>0.15945163001346443</v>
      </c>
      <c r="M90">
        <f t="shared" si="9"/>
        <v>245.09</v>
      </c>
    </row>
    <row r="91" spans="1:13">
      <c r="A91">
        <v>5089</v>
      </c>
      <c r="B91" s="1">
        <v>46074</v>
      </c>
      <c r="C91" s="3" t="s">
        <v>25</v>
      </c>
      <c r="D91" s="3" t="s">
        <v>15</v>
      </c>
      <c r="E91" s="2">
        <v>353.7</v>
      </c>
      <c r="F91">
        <v>198</v>
      </c>
      <c r="G91">
        <v>5</v>
      </c>
      <c r="H91" s="2">
        <v>317.60000000000002</v>
      </c>
      <c r="I91" s="3" t="str">
        <f t="shared" si="5"/>
        <v>Summer Sale</v>
      </c>
      <c r="J91" s="3" t="str">
        <f t="shared" si="6"/>
        <v>Meta Ads</v>
      </c>
      <c r="K91" t="str">
        <f t="shared" si="7"/>
        <v>21-02-2026</v>
      </c>
      <c r="L91">
        <f t="shared" si="8"/>
        <v>0.89793610404297441</v>
      </c>
      <c r="M91">
        <f t="shared" si="9"/>
        <v>70.739999999999995</v>
      </c>
    </row>
    <row r="92" spans="1:13">
      <c r="A92">
        <v>5090</v>
      </c>
      <c r="B92" s="1">
        <v>46202</v>
      </c>
      <c r="C92" s="3" t="s">
        <v>10</v>
      </c>
      <c r="D92" s="3" t="s">
        <v>11</v>
      </c>
      <c r="E92" s="2">
        <v>58.82</v>
      </c>
      <c r="F92">
        <v>723</v>
      </c>
      <c r="G92">
        <v>30</v>
      </c>
      <c r="H92" s="2">
        <v>954</v>
      </c>
      <c r="I92" s="3" t="str">
        <f t="shared" si="5"/>
        <v>Search - Generic</v>
      </c>
      <c r="J92" s="3" t="str">
        <f t="shared" si="6"/>
        <v>Google Ads</v>
      </c>
      <c r="K92" t="str">
        <f t="shared" si="7"/>
        <v>29-06-2026</v>
      </c>
      <c r="L92">
        <f t="shared" si="8"/>
        <v>16.218973138388304</v>
      </c>
      <c r="M92">
        <f t="shared" si="9"/>
        <v>1.9606666666666668</v>
      </c>
    </row>
    <row r="93" spans="1:13">
      <c r="A93">
        <v>5091</v>
      </c>
      <c r="B93" s="1">
        <v>46131</v>
      </c>
      <c r="C93" s="3" t="s">
        <v>10</v>
      </c>
      <c r="D93" s="3" t="s">
        <v>11</v>
      </c>
      <c r="E93" s="2">
        <v>281.57</v>
      </c>
      <c r="F93">
        <v>185</v>
      </c>
      <c r="G93">
        <v>6</v>
      </c>
      <c r="H93" s="2">
        <v>494.76</v>
      </c>
      <c r="I93" s="3" t="str">
        <f t="shared" si="5"/>
        <v>Search - Generic</v>
      </c>
      <c r="J93" s="3" t="str">
        <f t="shared" si="6"/>
        <v>Google Ads</v>
      </c>
      <c r="K93" t="str">
        <f t="shared" si="7"/>
        <v>19-04-2026</v>
      </c>
      <c r="L93">
        <f t="shared" si="8"/>
        <v>1.75714742337607</v>
      </c>
      <c r="M93">
        <f t="shared" si="9"/>
        <v>46.928333333333335</v>
      </c>
    </row>
    <row r="94" spans="1:13">
      <c r="A94">
        <v>5092</v>
      </c>
      <c r="B94" s="1">
        <v>46188</v>
      </c>
      <c r="C94" s="3" t="s">
        <v>10</v>
      </c>
      <c r="D94" s="3" t="s">
        <v>18</v>
      </c>
      <c r="E94" s="2">
        <v>236.15</v>
      </c>
      <c r="F94">
        <v>577</v>
      </c>
      <c r="G94">
        <v>28</v>
      </c>
      <c r="H94" s="2">
        <v>1008.56</v>
      </c>
      <c r="I94" s="3" t="str">
        <f t="shared" si="5"/>
        <v>Shopping</v>
      </c>
      <c r="J94" s="3" t="str">
        <f t="shared" si="6"/>
        <v>Google Ads</v>
      </c>
      <c r="K94" t="str">
        <f t="shared" si="7"/>
        <v>15-06-2026</v>
      </c>
      <c r="L94">
        <f t="shared" si="8"/>
        <v>4.270844802032606</v>
      </c>
      <c r="M94">
        <f t="shared" si="9"/>
        <v>8.4339285714285719</v>
      </c>
    </row>
    <row r="95" spans="1:13">
      <c r="A95">
        <v>5093</v>
      </c>
      <c r="B95" s="1">
        <v>46201</v>
      </c>
      <c r="C95" s="3" t="s">
        <v>8</v>
      </c>
      <c r="D95" s="3" t="s">
        <v>13</v>
      </c>
      <c r="E95" s="2">
        <v>416.73</v>
      </c>
      <c r="F95">
        <v>642</v>
      </c>
      <c r="G95">
        <v>25</v>
      </c>
      <c r="H95" s="2">
        <v>878.5</v>
      </c>
      <c r="I95" s="3" t="str">
        <f t="shared" si="5"/>
        <v>Abandoned Cart</v>
      </c>
      <c r="J95" s="3" t="str">
        <f t="shared" si="6"/>
        <v>Email</v>
      </c>
      <c r="K95" t="str">
        <f t="shared" si="7"/>
        <v>28-06-2026</v>
      </c>
      <c r="L95">
        <f t="shared" si="8"/>
        <v>2.1080795719050704</v>
      </c>
      <c r="M95">
        <f t="shared" si="9"/>
        <v>16.6692</v>
      </c>
    </row>
    <row r="96" spans="1:13">
      <c r="A96">
        <v>5094</v>
      </c>
      <c r="B96" s="1">
        <v>46071</v>
      </c>
      <c r="C96" s="3" t="s">
        <v>8</v>
      </c>
      <c r="D96" s="3" t="s">
        <v>17</v>
      </c>
      <c r="E96" s="2">
        <v>113.81</v>
      </c>
      <c r="F96">
        <v>164</v>
      </c>
      <c r="G96">
        <v>14</v>
      </c>
      <c r="H96" s="2">
        <v>1073.3800000000001</v>
      </c>
      <c r="I96" s="3" t="str">
        <f t="shared" si="5"/>
        <v>Newsletter</v>
      </c>
      <c r="J96" s="3" t="str">
        <f t="shared" si="6"/>
        <v>Email</v>
      </c>
      <c r="K96" t="str">
        <f t="shared" si="7"/>
        <v>18-02-2026</v>
      </c>
      <c r="L96">
        <f t="shared" si="8"/>
        <v>9.4313329232932084</v>
      </c>
      <c r="M96">
        <f t="shared" si="9"/>
        <v>8.1292857142857144</v>
      </c>
    </row>
    <row r="97" spans="1:13">
      <c r="A97">
        <v>5095</v>
      </c>
      <c r="B97" s="1">
        <v>46075</v>
      </c>
      <c r="C97" s="3" t="s">
        <v>10</v>
      </c>
      <c r="D97" s="3" t="s">
        <v>20</v>
      </c>
      <c r="E97" s="2">
        <v>430.08</v>
      </c>
      <c r="F97">
        <v>457</v>
      </c>
      <c r="G97">
        <v>21</v>
      </c>
      <c r="H97" s="2">
        <v>1208.1300000000001</v>
      </c>
      <c r="I97" s="3" t="str">
        <f t="shared" si="5"/>
        <v>Search - Brand</v>
      </c>
      <c r="J97" s="3" t="str">
        <f t="shared" si="6"/>
        <v>Google Ads</v>
      </c>
      <c r="K97" t="str">
        <f t="shared" si="7"/>
        <v>22-02-2026</v>
      </c>
      <c r="L97">
        <f t="shared" si="8"/>
        <v>2.8090820312500004</v>
      </c>
      <c r="M97">
        <f t="shared" si="9"/>
        <v>20.48</v>
      </c>
    </row>
    <row r="98" spans="1:13">
      <c r="A98">
        <v>5096</v>
      </c>
      <c r="B98" s="1">
        <v>46085</v>
      </c>
      <c r="C98" s="3" t="s">
        <v>8</v>
      </c>
      <c r="D98" s="3" t="s">
        <v>24</v>
      </c>
      <c r="E98" s="2">
        <v>333.19</v>
      </c>
      <c r="F98">
        <v>667</v>
      </c>
      <c r="G98">
        <v>48</v>
      </c>
      <c r="H98" s="2">
        <v>3859.68</v>
      </c>
      <c r="I98" s="3" t="str">
        <f t="shared" si="5"/>
        <v>Promo Blast</v>
      </c>
      <c r="J98" s="3" t="str">
        <f t="shared" si="6"/>
        <v>Email</v>
      </c>
      <c r="K98" t="str">
        <f t="shared" si="7"/>
        <v>04-03-2026</v>
      </c>
      <c r="L98">
        <f t="shared" si="8"/>
        <v>11.584021129085507</v>
      </c>
      <c r="M98">
        <f t="shared" si="9"/>
        <v>6.9414583333333333</v>
      </c>
    </row>
    <row r="99" spans="1:13">
      <c r="A99">
        <v>5097</v>
      </c>
      <c r="B99" s="1">
        <v>46048</v>
      </c>
      <c r="C99" s="3" t="s">
        <v>14</v>
      </c>
      <c r="D99" s="3" t="s">
        <v>22</v>
      </c>
      <c r="E99" s="2">
        <v>140.03</v>
      </c>
      <c r="F99">
        <v>443</v>
      </c>
      <c r="G99">
        <v>8</v>
      </c>
      <c r="H99" s="2">
        <v>210.24</v>
      </c>
      <c r="I99" s="3" t="str">
        <f t="shared" si="5"/>
        <v>Brand Awareness</v>
      </c>
      <c r="J99" s="3" t="str">
        <f t="shared" si="6"/>
        <v>Meta Ads</v>
      </c>
      <c r="K99" t="str">
        <f t="shared" si="7"/>
        <v>26-01-2026</v>
      </c>
      <c r="L99">
        <f t="shared" si="8"/>
        <v>1.5013925587374135</v>
      </c>
      <c r="M99">
        <f t="shared" si="9"/>
        <v>17.50375</v>
      </c>
    </row>
    <row r="100" spans="1:13">
      <c r="A100">
        <v>5098</v>
      </c>
      <c r="B100" s="1">
        <v>46106</v>
      </c>
      <c r="C100" s="3" t="s">
        <v>10</v>
      </c>
      <c r="D100" s="3" t="s">
        <v>12</v>
      </c>
      <c r="E100" s="2">
        <v>140.59</v>
      </c>
      <c r="F100">
        <v>233</v>
      </c>
      <c r="G100">
        <v>6</v>
      </c>
      <c r="H100" s="2">
        <v>454.92</v>
      </c>
      <c r="I100" s="3" t="str">
        <f t="shared" si="5"/>
        <v>Display</v>
      </c>
      <c r="J100" s="3" t="str">
        <f t="shared" si="6"/>
        <v>Google Ads</v>
      </c>
      <c r="K100" t="str">
        <f t="shared" si="7"/>
        <v>25-03-2026</v>
      </c>
      <c r="L100">
        <f t="shared" si="8"/>
        <v>3.2357920193470373</v>
      </c>
      <c r="M100">
        <f t="shared" si="9"/>
        <v>23.431666666666668</v>
      </c>
    </row>
    <row r="101" spans="1:13">
      <c r="A101">
        <v>5099</v>
      </c>
      <c r="B101" s="1">
        <v>46144</v>
      </c>
      <c r="C101" s="3" t="s">
        <v>8</v>
      </c>
      <c r="D101" s="3" t="s">
        <v>9</v>
      </c>
      <c r="E101" s="2">
        <v>475.03</v>
      </c>
      <c r="F101">
        <v>225</v>
      </c>
      <c r="G101">
        <v>20</v>
      </c>
      <c r="H101" s="2">
        <v>739</v>
      </c>
      <c r="I101" s="3" t="str">
        <f t="shared" si="5"/>
        <v>Welcome Series</v>
      </c>
      <c r="J101" s="3" t="str">
        <f t="shared" si="6"/>
        <v>Email</v>
      </c>
      <c r="K101" t="str">
        <f t="shared" si="7"/>
        <v>02-05-2026</v>
      </c>
      <c r="L101">
        <f t="shared" si="8"/>
        <v>1.5556912195019263</v>
      </c>
      <c r="M101">
        <f t="shared" si="9"/>
        <v>23.7515</v>
      </c>
    </row>
    <row r="102" spans="1:13">
      <c r="A102">
        <v>5100</v>
      </c>
      <c r="B102" s="1">
        <v>46176</v>
      </c>
      <c r="C102" s="3" t="s">
        <v>10</v>
      </c>
      <c r="D102" s="3" t="s">
        <v>12</v>
      </c>
      <c r="E102" s="2">
        <v>56.09</v>
      </c>
      <c r="F102">
        <v>440</v>
      </c>
      <c r="G102">
        <v>19</v>
      </c>
      <c r="H102" s="2">
        <v>1308.53</v>
      </c>
      <c r="I102" s="3" t="str">
        <f t="shared" si="5"/>
        <v>Display</v>
      </c>
      <c r="J102" s="3" t="str">
        <f t="shared" si="6"/>
        <v>Google Ads</v>
      </c>
      <c r="K102" t="str">
        <f t="shared" si="7"/>
        <v>03-06-2026</v>
      </c>
      <c r="L102">
        <f t="shared" si="8"/>
        <v>23.329113924050631</v>
      </c>
      <c r="M102">
        <f t="shared" si="9"/>
        <v>2.952105263157895</v>
      </c>
    </row>
    <row r="103" spans="1:13">
      <c r="A103">
        <v>5101</v>
      </c>
      <c r="B103" s="1">
        <v>46079</v>
      </c>
      <c r="C103" s="3" t="s">
        <v>10</v>
      </c>
      <c r="D103" s="3" t="s">
        <v>11</v>
      </c>
      <c r="E103" s="2">
        <v>53.07</v>
      </c>
      <c r="F103">
        <v>659</v>
      </c>
      <c r="G103">
        <v>18</v>
      </c>
      <c r="H103" s="2">
        <v>1201.32</v>
      </c>
      <c r="I103" s="3" t="str">
        <f t="shared" si="5"/>
        <v>Search - Generic</v>
      </c>
      <c r="J103" s="3" t="str">
        <f t="shared" si="6"/>
        <v>Google Ads</v>
      </c>
      <c r="K103" t="str">
        <f t="shared" si="7"/>
        <v>26-02-2026</v>
      </c>
      <c r="L103">
        <f t="shared" si="8"/>
        <v>22.636517806670433</v>
      </c>
      <c r="M103">
        <f t="shared" si="9"/>
        <v>2.9483333333333333</v>
      </c>
    </row>
    <row r="104" spans="1:13">
      <c r="A104">
        <v>5102</v>
      </c>
      <c r="B104" s="1">
        <v>46128</v>
      </c>
      <c r="C104" s="3" t="s">
        <v>10</v>
      </c>
      <c r="D104" s="3" t="s">
        <v>11</v>
      </c>
      <c r="E104" s="2">
        <v>396.12</v>
      </c>
      <c r="F104">
        <v>245</v>
      </c>
      <c r="G104">
        <v>7</v>
      </c>
      <c r="H104" s="2">
        <v>770.22</v>
      </c>
      <c r="I104" s="3" t="str">
        <f t="shared" si="5"/>
        <v>Search - Generic</v>
      </c>
      <c r="J104" s="3" t="str">
        <f t="shared" si="6"/>
        <v>Google Ads</v>
      </c>
      <c r="K104" t="str">
        <f t="shared" si="7"/>
        <v>16-04-2026</v>
      </c>
      <c r="L104">
        <f t="shared" si="8"/>
        <v>1.9444107846107241</v>
      </c>
      <c r="M104">
        <f t="shared" si="9"/>
        <v>56.588571428571427</v>
      </c>
    </row>
    <row r="105" spans="1:13">
      <c r="A105">
        <v>5103</v>
      </c>
      <c r="B105" s="1">
        <v>46094</v>
      </c>
      <c r="C105" s="3" t="s">
        <v>14</v>
      </c>
      <c r="D105" s="3" t="s">
        <v>19</v>
      </c>
      <c r="E105" s="2">
        <v>319.20999999999998</v>
      </c>
      <c r="F105">
        <v>97</v>
      </c>
      <c r="G105">
        <v>2</v>
      </c>
      <c r="H105" s="2">
        <v>97.12</v>
      </c>
      <c r="I105" s="3" t="str">
        <f t="shared" si="5"/>
        <v>New Arrivals</v>
      </c>
      <c r="J105" s="3" t="str">
        <f t="shared" si="6"/>
        <v>Meta Ads</v>
      </c>
      <c r="K105" t="str">
        <f t="shared" si="7"/>
        <v>13-03-2026</v>
      </c>
      <c r="L105">
        <f t="shared" si="8"/>
        <v>0.30425111995238246</v>
      </c>
      <c r="M105">
        <f t="shared" si="9"/>
        <v>159.60499999999999</v>
      </c>
    </row>
    <row r="106" spans="1:13">
      <c r="A106">
        <v>5104</v>
      </c>
      <c r="B106" s="1">
        <v>46144</v>
      </c>
      <c r="C106" s="3" t="s">
        <v>8</v>
      </c>
      <c r="D106" s="3" t="s">
        <v>17</v>
      </c>
      <c r="E106" s="2">
        <v>54.56</v>
      </c>
      <c r="F106">
        <v>310</v>
      </c>
      <c r="G106">
        <v>13</v>
      </c>
      <c r="H106" s="2">
        <v>410.8</v>
      </c>
      <c r="I106" s="3" t="str">
        <f t="shared" si="5"/>
        <v>Newsletter</v>
      </c>
      <c r="J106" s="3" t="str">
        <f t="shared" si="6"/>
        <v>Email</v>
      </c>
      <c r="K106" t="str">
        <f t="shared" si="7"/>
        <v>02-05-2026</v>
      </c>
      <c r="L106">
        <f t="shared" si="8"/>
        <v>7.5293255131964809</v>
      </c>
      <c r="M106">
        <f t="shared" si="9"/>
        <v>4.1969230769230768</v>
      </c>
    </row>
    <row r="107" spans="1:13">
      <c r="A107">
        <v>5105</v>
      </c>
      <c r="B107" s="1">
        <v>46126</v>
      </c>
      <c r="C107" s="3" t="s">
        <v>8</v>
      </c>
      <c r="D107" s="3" t="s">
        <v>17</v>
      </c>
      <c r="E107" s="2">
        <v>398.28</v>
      </c>
      <c r="F107">
        <v>314</v>
      </c>
      <c r="G107">
        <v>13</v>
      </c>
      <c r="H107" s="2">
        <v>910.39</v>
      </c>
      <c r="I107" s="3" t="str">
        <f t="shared" si="5"/>
        <v>Newsletter</v>
      </c>
      <c r="J107" s="3" t="str">
        <f t="shared" si="6"/>
        <v>Email</v>
      </c>
      <c r="K107" t="str">
        <f t="shared" si="7"/>
        <v>14-04-2026</v>
      </c>
      <c r="L107">
        <f t="shared" si="8"/>
        <v>2.2858039570151654</v>
      </c>
      <c r="M107">
        <f t="shared" si="9"/>
        <v>30.636923076923075</v>
      </c>
    </row>
    <row r="108" spans="1:13">
      <c r="A108">
        <v>5106</v>
      </c>
      <c r="B108" s="1">
        <v>46090</v>
      </c>
      <c r="C108" s="3" t="s">
        <v>14</v>
      </c>
      <c r="D108" s="3" t="s">
        <v>23</v>
      </c>
      <c r="E108" s="2">
        <v>252.5</v>
      </c>
      <c r="F108">
        <v>157</v>
      </c>
      <c r="G108">
        <v>3</v>
      </c>
      <c r="H108" s="2">
        <v>123.09</v>
      </c>
      <c r="I108" s="3" t="str">
        <f t="shared" si="5"/>
        <v>Retargeting</v>
      </c>
      <c r="J108" s="3" t="str">
        <f t="shared" si="6"/>
        <v>Meta Ads</v>
      </c>
      <c r="K108" t="str">
        <f t="shared" si="7"/>
        <v>09-03-2026</v>
      </c>
      <c r="L108">
        <f t="shared" si="8"/>
        <v>0.48748514851485147</v>
      </c>
      <c r="M108">
        <f t="shared" si="9"/>
        <v>84.166666666666671</v>
      </c>
    </row>
    <row r="109" spans="1:13">
      <c r="A109">
        <v>5107</v>
      </c>
      <c r="B109" s="1">
        <v>46201</v>
      </c>
      <c r="C109" s="3" t="s">
        <v>8</v>
      </c>
      <c r="D109" s="3" t="s">
        <v>9</v>
      </c>
      <c r="E109" s="2">
        <v>221.03</v>
      </c>
      <c r="F109">
        <v>401</v>
      </c>
      <c r="G109">
        <v>24</v>
      </c>
      <c r="H109" s="2">
        <v>1593.84</v>
      </c>
      <c r="I109" s="3" t="str">
        <f t="shared" si="5"/>
        <v>Welcome Series</v>
      </c>
      <c r="J109" s="3" t="str">
        <f t="shared" si="6"/>
        <v>Email</v>
      </c>
      <c r="K109" t="str">
        <f t="shared" si="7"/>
        <v>28-06-2026</v>
      </c>
      <c r="L109">
        <f t="shared" si="8"/>
        <v>7.2109668370809388</v>
      </c>
      <c r="M109">
        <f t="shared" si="9"/>
        <v>9.2095833333333328</v>
      </c>
    </row>
    <row r="110" spans="1:13">
      <c r="A110">
        <v>5108</v>
      </c>
      <c r="B110" s="1">
        <v>46107</v>
      </c>
      <c r="C110" s="3" t="s">
        <v>8</v>
      </c>
      <c r="D110" s="3" t="s">
        <v>24</v>
      </c>
      <c r="E110" s="2">
        <v>36.270000000000003</v>
      </c>
      <c r="F110">
        <v>745</v>
      </c>
      <c r="G110">
        <v>40</v>
      </c>
      <c r="H110" s="2">
        <v>1330</v>
      </c>
      <c r="I110" s="3" t="str">
        <f t="shared" si="5"/>
        <v>Promo Blast</v>
      </c>
      <c r="J110" s="3" t="str">
        <f t="shared" si="6"/>
        <v>Email</v>
      </c>
      <c r="K110" t="str">
        <f t="shared" si="7"/>
        <v>26-03-2026</v>
      </c>
      <c r="L110">
        <f t="shared" si="8"/>
        <v>36.669423766197959</v>
      </c>
      <c r="M110">
        <f t="shared" si="9"/>
        <v>0.90675000000000006</v>
      </c>
    </row>
    <row r="111" spans="1:13">
      <c r="A111">
        <v>5109</v>
      </c>
      <c r="B111" s="1">
        <v>46076</v>
      </c>
      <c r="C111" s="3" t="s">
        <v>10</v>
      </c>
      <c r="D111" s="3" t="s">
        <v>18</v>
      </c>
      <c r="E111" s="2">
        <v>416.83</v>
      </c>
      <c r="F111">
        <v>309</v>
      </c>
      <c r="G111">
        <v>10</v>
      </c>
      <c r="H111" s="2">
        <v>570.9</v>
      </c>
      <c r="I111" s="3" t="str">
        <f t="shared" si="5"/>
        <v>Shopping</v>
      </c>
      <c r="J111" s="3" t="str">
        <f t="shared" si="6"/>
        <v>Google Ads</v>
      </c>
      <c r="K111" t="str">
        <f t="shared" si="7"/>
        <v>23-02-2026</v>
      </c>
      <c r="L111">
        <f t="shared" si="8"/>
        <v>1.3696231077417653</v>
      </c>
      <c r="M111">
        <f t="shared" si="9"/>
        <v>41.683</v>
      </c>
    </row>
    <row r="112" spans="1:13">
      <c r="A112">
        <v>5110</v>
      </c>
      <c r="B112" s="1">
        <v>46149</v>
      </c>
      <c r="C112" s="3" t="s">
        <v>10</v>
      </c>
      <c r="D112" s="3" t="s">
        <v>11</v>
      </c>
      <c r="E112" s="2">
        <v>301.5</v>
      </c>
      <c r="F112">
        <v>660</v>
      </c>
      <c r="G112">
        <v>15</v>
      </c>
      <c r="H112" s="2">
        <v>1346.55</v>
      </c>
      <c r="I112" s="3" t="str">
        <f t="shared" si="5"/>
        <v>Search - Generic</v>
      </c>
      <c r="J112" s="3" t="str">
        <f t="shared" si="6"/>
        <v>Google Ads</v>
      </c>
      <c r="K112" t="str">
        <f t="shared" si="7"/>
        <v>07-05-2026</v>
      </c>
      <c r="L112">
        <f t="shared" si="8"/>
        <v>4.4661691542288553</v>
      </c>
      <c r="M112">
        <f t="shared" si="9"/>
        <v>20.100000000000001</v>
      </c>
    </row>
    <row r="113" spans="1:13">
      <c r="A113">
        <v>5111</v>
      </c>
      <c r="B113" s="1">
        <v>46050</v>
      </c>
      <c r="C113" s="3" t="s">
        <v>14</v>
      </c>
      <c r="D113" s="3" t="s">
        <v>23</v>
      </c>
      <c r="E113" s="2">
        <v>387.67</v>
      </c>
      <c r="F113">
        <v>71</v>
      </c>
      <c r="G113">
        <v>1</v>
      </c>
      <c r="H113" s="2">
        <v>84.14</v>
      </c>
      <c r="I113" s="3" t="str">
        <f t="shared" si="5"/>
        <v>Retargeting</v>
      </c>
      <c r="J113" s="3" t="str">
        <f t="shared" si="6"/>
        <v>Meta Ads</v>
      </c>
      <c r="K113" t="str">
        <f t="shared" si="7"/>
        <v>28-01-2026</v>
      </c>
      <c r="L113">
        <f t="shared" si="8"/>
        <v>0.21704026620579359</v>
      </c>
      <c r="M113">
        <f t="shared" si="9"/>
        <v>387.67</v>
      </c>
    </row>
    <row r="114" spans="1:13">
      <c r="A114">
        <v>5112</v>
      </c>
      <c r="B114" s="1">
        <v>46197</v>
      </c>
      <c r="C114" s="3" t="s">
        <v>14</v>
      </c>
      <c r="D114" s="3" t="s">
        <v>15</v>
      </c>
      <c r="E114" s="2">
        <v>386.08</v>
      </c>
      <c r="F114">
        <v>113</v>
      </c>
      <c r="G114">
        <v>2</v>
      </c>
      <c r="H114" s="2">
        <v>577.65</v>
      </c>
      <c r="I114" s="3" t="str">
        <f t="shared" si="5"/>
        <v>Summer Sale</v>
      </c>
      <c r="J114" s="3" t="str">
        <f t="shared" si="6"/>
        <v>Meta Ads</v>
      </c>
      <c r="K114" t="str">
        <f t="shared" si="7"/>
        <v>24-06-2026</v>
      </c>
      <c r="L114">
        <f t="shared" si="8"/>
        <v>1.4961924989639452</v>
      </c>
      <c r="M114">
        <f t="shared" si="9"/>
        <v>193.04</v>
      </c>
    </row>
    <row r="115" spans="1:13">
      <c r="A115">
        <v>5113</v>
      </c>
      <c r="B115" s="1">
        <v>46144</v>
      </c>
      <c r="C115" s="3" t="s">
        <v>8</v>
      </c>
      <c r="D115" s="3" t="s">
        <v>9</v>
      </c>
      <c r="E115" s="2">
        <v>36.44</v>
      </c>
      <c r="F115">
        <v>30</v>
      </c>
      <c r="G115">
        <v>1</v>
      </c>
      <c r="H115" s="2">
        <v>66.709999999999994</v>
      </c>
      <c r="I115" s="3" t="str">
        <f t="shared" si="5"/>
        <v>Welcome Series</v>
      </c>
      <c r="J115" s="3" t="str">
        <f t="shared" si="6"/>
        <v>Email</v>
      </c>
      <c r="K115" t="str">
        <f t="shared" si="7"/>
        <v>02-05-2026</v>
      </c>
      <c r="L115">
        <f t="shared" si="8"/>
        <v>1.8306805708013172</v>
      </c>
      <c r="M115">
        <f t="shared" si="9"/>
        <v>36.44</v>
      </c>
    </row>
    <row r="116" spans="1:13">
      <c r="A116">
        <v>5114</v>
      </c>
      <c r="B116" s="1">
        <v>46130</v>
      </c>
      <c r="C116" s="3" t="s">
        <v>10</v>
      </c>
      <c r="D116" s="3" t="s">
        <v>20</v>
      </c>
      <c r="E116" s="2">
        <v>205.83</v>
      </c>
      <c r="F116">
        <v>616</v>
      </c>
      <c r="G116">
        <v>36</v>
      </c>
      <c r="H116" s="2">
        <v>2442.96</v>
      </c>
      <c r="I116" s="3" t="str">
        <f t="shared" si="5"/>
        <v>Search - Brand</v>
      </c>
      <c r="J116" s="3" t="str">
        <f t="shared" si="6"/>
        <v>Google Ads</v>
      </c>
      <c r="K116" t="str">
        <f t="shared" si="7"/>
        <v>18-04-2026</v>
      </c>
      <c r="L116">
        <f t="shared" si="8"/>
        <v>11.868823786620025</v>
      </c>
      <c r="M116">
        <f t="shared" si="9"/>
        <v>5.7175000000000002</v>
      </c>
    </row>
    <row r="117" spans="1:13">
      <c r="A117">
        <v>5115</v>
      </c>
      <c r="B117" s="1">
        <v>46061</v>
      </c>
      <c r="C117" s="3" t="s">
        <v>10</v>
      </c>
      <c r="D117" s="3" t="s">
        <v>20</v>
      </c>
      <c r="E117" s="2">
        <v>341.3</v>
      </c>
      <c r="F117">
        <v>100</v>
      </c>
      <c r="G117">
        <v>2</v>
      </c>
      <c r="H117" s="2">
        <v>65.78</v>
      </c>
      <c r="I117" s="3" t="str">
        <f t="shared" si="5"/>
        <v>Search - Brand</v>
      </c>
      <c r="J117" s="3" t="str">
        <f t="shared" si="6"/>
        <v>Google Ads</v>
      </c>
      <c r="K117" t="str">
        <f t="shared" si="7"/>
        <v>08-02-2026</v>
      </c>
      <c r="L117">
        <f t="shared" si="8"/>
        <v>0.19273366539701142</v>
      </c>
      <c r="M117">
        <f t="shared" si="9"/>
        <v>170.65</v>
      </c>
    </row>
    <row r="118" spans="1:13">
      <c r="A118">
        <v>5116</v>
      </c>
      <c r="B118" s="1">
        <v>46035</v>
      </c>
      <c r="C118" s="3" t="s">
        <v>16</v>
      </c>
      <c r="D118" s="3" t="s">
        <v>13</v>
      </c>
      <c r="E118" s="2">
        <v>321.74</v>
      </c>
      <c r="F118">
        <v>736</v>
      </c>
      <c r="G118">
        <v>44</v>
      </c>
      <c r="H118" s="2">
        <v>3014.88</v>
      </c>
      <c r="I118" s="3" t="str">
        <f t="shared" si="5"/>
        <v>Abandoned Cart</v>
      </c>
      <c r="J118" s="3" t="str">
        <f t="shared" si="6"/>
        <v>Email</v>
      </c>
      <c r="K118" t="str">
        <f t="shared" si="7"/>
        <v>13-01-2026</v>
      </c>
      <c r="L118">
        <f t="shared" si="8"/>
        <v>9.3705476471685216</v>
      </c>
      <c r="M118">
        <f t="shared" si="9"/>
        <v>7.3122727272727275</v>
      </c>
    </row>
    <row r="119" spans="1:13">
      <c r="A119">
        <v>5117</v>
      </c>
      <c r="B119" s="1">
        <v>46189</v>
      </c>
      <c r="C119" s="3" t="s">
        <v>10</v>
      </c>
      <c r="D119" s="3" t="s">
        <v>18</v>
      </c>
      <c r="E119" s="2">
        <v>479.7</v>
      </c>
      <c r="F119">
        <v>508</v>
      </c>
      <c r="G119">
        <v>22</v>
      </c>
      <c r="H119" s="2">
        <v>1002.32</v>
      </c>
      <c r="I119" s="3" t="str">
        <f t="shared" si="5"/>
        <v>Shopping</v>
      </c>
      <c r="J119" s="3" t="str">
        <f t="shared" si="6"/>
        <v>Google Ads</v>
      </c>
      <c r="K119" t="str">
        <f t="shared" si="7"/>
        <v>16-06-2026</v>
      </c>
      <c r="L119">
        <f t="shared" si="8"/>
        <v>2.0894725870335629</v>
      </c>
      <c r="M119">
        <f t="shared" si="9"/>
        <v>21.804545454545455</v>
      </c>
    </row>
    <row r="120" spans="1:13">
      <c r="A120">
        <v>5118</v>
      </c>
      <c r="B120" s="1">
        <v>46052</v>
      </c>
      <c r="C120" s="3" t="s">
        <v>8</v>
      </c>
      <c r="D120" s="3" t="s">
        <v>13</v>
      </c>
      <c r="E120" s="2">
        <v>205.15</v>
      </c>
      <c r="F120">
        <v>473</v>
      </c>
      <c r="G120">
        <v>41</v>
      </c>
      <c r="H120" s="2">
        <v>3116</v>
      </c>
      <c r="I120" s="3" t="str">
        <f t="shared" si="5"/>
        <v>Abandoned Cart</v>
      </c>
      <c r="J120" s="3" t="str">
        <f t="shared" si="6"/>
        <v>Email</v>
      </c>
      <c r="K120" t="str">
        <f t="shared" si="7"/>
        <v>30-01-2026</v>
      </c>
      <c r="L120">
        <f t="shared" si="8"/>
        <v>15.188886180843285</v>
      </c>
      <c r="M120">
        <f t="shared" si="9"/>
        <v>5.0036585365853661</v>
      </c>
    </row>
    <row r="121" spans="1:13">
      <c r="A121">
        <v>5119</v>
      </c>
      <c r="B121" s="1">
        <v>46087</v>
      </c>
      <c r="C121" s="3" t="s">
        <v>8</v>
      </c>
      <c r="D121" s="3" t="s">
        <v>17</v>
      </c>
      <c r="E121" s="2">
        <v>168.13</v>
      </c>
      <c r="F121">
        <v>448</v>
      </c>
      <c r="G121">
        <v>39</v>
      </c>
      <c r="H121" s="2">
        <v>1599</v>
      </c>
      <c r="I121" s="3" t="str">
        <f t="shared" si="5"/>
        <v>Newsletter</v>
      </c>
      <c r="J121" s="3" t="str">
        <f t="shared" si="6"/>
        <v>Email</v>
      </c>
      <c r="K121" t="str">
        <f t="shared" si="7"/>
        <v>06-03-2026</v>
      </c>
      <c r="L121">
        <f t="shared" si="8"/>
        <v>9.5104978290608457</v>
      </c>
      <c r="M121">
        <f t="shared" si="9"/>
        <v>4.3110256410256413</v>
      </c>
    </row>
    <row r="122" spans="1:13">
      <c r="A122">
        <v>5120</v>
      </c>
      <c r="B122" s="1">
        <v>46199</v>
      </c>
      <c r="C122" s="3" t="s">
        <v>10</v>
      </c>
      <c r="D122" s="3" t="s">
        <v>18</v>
      </c>
      <c r="E122" s="2">
        <v>461.89</v>
      </c>
      <c r="F122">
        <v>791</v>
      </c>
      <c r="G122">
        <v>43</v>
      </c>
      <c r="H122" s="2">
        <v>1193.25</v>
      </c>
      <c r="I122" s="3" t="str">
        <f t="shared" si="5"/>
        <v>Shopping</v>
      </c>
      <c r="J122" s="3" t="str">
        <f t="shared" si="6"/>
        <v>Google Ads</v>
      </c>
      <c r="K122" t="str">
        <f t="shared" si="7"/>
        <v>26-06-2026</v>
      </c>
      <c r="L122">
        <f t="shared" si="8"/>
        <v>2.5834073047695338</v>
      </c>
      <c r="M122">
        <f t="shared" si="9"/>
        <v>10.741627906976744</v>
      </c>
    </row>
    <row r="123" spans="1:13">
      <c r="A123">
        <v>5121</v>
      </c>
      <c r="B123" s="1">
        <v>46163</v>
      </c>
      <c r="C123" s="3" t="s">
        <v>10</v>
      </c>
      <c r="D123" s="3" t="s">
        <v>20</v>
      </c>
      <c r="E123" s="2">
        <v>203.23</v>
      </c>
      <c r="F123">
        <v>778</v>
      </c>
      <c r="G123">
        <v>38</v>
      </c>
      <c r="H123" s="2">
        <v>3376.3</v>
      </c>
      <c r="I123" s="3" t="str">
        <f t="shared" si="5"/>
        <v>Search - Brand</v>
      </c>
      <c r="J123" s="3" t="str">
        <f t="shared" si="6"/>
        <v>Google Ads</v>
      </c>
      <c r="K123" t="str">
        <f t="shared" si="7"/>
        <v>21-05-2026</v>
      </c>
      <c r="L123">
        <f t="shared" si="8"/>
        <v>16.613196870540769</v>
      </c>
      <c r="M123">
        <f t="shared" si="9"/>
        <v>5.3481578947368416</v>
      </c>
    </row>
    <row r="124" spans="1:13">
      <c r="A124">
        <v>5122</v>
      </c>
      <c r="B124" s="1">
        <v>46173</v>
      </c>
      <c r="C124" s="3" t="s">
        <v>10</v>
      </c>
      <c r="D124" s="3" t="s">
        <v>12</v>
      </c>
      <c r="E124" s="2">
        <v>190.45</v>
      </c>
      <c r="F124">
        <v>74</v>
      </c>
      <c r="G124">
        <v>2</v>
      </c>
      <c r="H124" s="2">
        <v>125.34</v>
      </c>
      <c r="I124" s="3" t="str">
        <f t="shared" si="5"/>
        <v>Display</v>
      </c>
      <c r="J124" s="3" t="str">
        <f t="shared" si="6"/>
        <v>Google Ads</v>
      </c>
      <c r="K124" t="str">
        <f t="shared" si="7"/>
        <v>31-05-2026</v>
      </c>
      <c r="L124">
        <f t="shared" si="8"/>
        <v>0.65812549225518513</v>
      </c>
      <c r="M124">
        <f t="shared" si="9"/>
        <v>95.224999999999994</v>
      </c>
    </row>
    <row r="125" spans="1:13">
      <c r="A125">
        <v>5123</v>
      </c>
      <c r="B125" s="1">
        <v>46071</v>
      </c>
      <c r="C125" s="3" t="s">
        <v>14</v>
      </c>
      <c r="D125" s="3" t="s">
        <v>15</v>
      </c>
      <c r="E125" s="2">
        <v>194.16</v>
      </c>
      <c r="F125">
        <v>587</v>
      </c>
      <c r="G125">
        <v>10</v>
      </c>
      <c r="H125" s="2">
        <v>756.8</v>
      </c>
      <c r="I125" s="3" t="str">
        <f t="shared" si="5"/>
        <v>Summer Sale</v>
      </c>
      <c r="J125" s="3" t="str">
        <f t="shared" si="6"/>
        <v>Meta Ads</v>
      </c>
      <c r="K125" t="str">
        <f t="shared" si="7"/>
        <v>18-02-2026</v>
      </c>
      <c r="L125">
        <f t="shared" si="8"/>
        <v>3.8978162340337863</v>
      </c>
      <c r="M125">
        <f t="shared" si="9"/>
        <v>19.416</v>
      </c>
    </row>
    <row r="126" spans="1:13">
      <c r="A126">
        <v>5124</v>
      </c>
      <c r="B126" s="1">
        <v>46118</v>
      </c>
      <c r="C126" s="3" t="s">
        <v>25</v>
      </c>
      <c r="D126" s="3" t="s">
        <v>23</v>
      </c>
      <c r="E126" s="2">
        <v>154.66</v>
      </c>
      <c r="F126">
        <v>631</v>
      </c>
      <c r="G126">
        <v>6</v>
      </c>
      <c r="H126" s="2">
        <v>163.08000000000001</v>
      </c>
      <c r="I126" s="3" t="str">
        <f t="shared" si="5"/>
        <v>Retargeting</v>
      </c>
      <c r="J126" s="3" t="str">
        <f t="shared" si="6"/>
        <v>Meta Ads</v>
      </c>
      <c r="K126" t="str">
        <f t="shared" si="7"/>
        <v>06-04-2026</v>
      </c>
      <c r="L126">
        <f t="shared" si="8"/>
        <v>1.054442001810423</v>
      </c>
      <c r="M126">
        <f t="shared" si="9"/>
        <v>25.776666666666667</v>
      </c>
    </row>
    <row r="127" spans="1:13">
      <c r="A127">
        <v>5125</v>
      </c>
      <c r="B127" s="1">
        <v>46094</v>
      </c>
      <c r="C127" s="3" t="s">
        <v>14</v>
      </c>
      <c r="D127" s="3" t="s">
        <v>22</v>
      </c>
      <c r="E127" s="2">
        <v>482.46</v>
      </c>
      <c r="F127">
        <v>270</v>
      </c>
      <c r="G127">
        <v>4</v>
      </c>
      <c r="H127" s="2">
        <v>329.14</v>
      </c>
      <c r="I127" s="3" t="str">
        <f t="shared" si="5"/>
        <v>Brand Awareness</v>
      </c>
      <c r="J127" s="3" t="str">
        <f t="shared" si="6"/>
        <v>Meta Ads</v>
      </c>
      <c r="K127" t="str">
        <f t="shared" si="7"/>
        <v>13-03-2026</v>
      </c>
      <c r="L127">
        <f t="shared" si="8"/>
        <v>0.68221199684947975</v>
      </c>
      <c r="M127">
        <f t="shared" si="9"/>
        <v>120.61499999999999</v>
      </c>
    </row>
    <row r="128" spans="1:13">
      <c r="A128">
        <v>5126</v>
      </c>
      <c r="B128" s="1">
        <v>46140</v>
      </c>
      <c r="C128" s="3" t="s">
        <v>14</v>
      </c>
      <c r="D128" s="3" t="s">
        <v>22</v>
      </c>
      <c r="E128" s="2">
        <v>63.18</v>
      </c>
      <c r="F128">
        <v>336</v>
      </c>
      <c r="G128">
        <v>7</v>
      </c>
      <c r="H128" s="2">
        <v>466.48</v>
      </c>
      <c r="I128" s="3" t="str">
        <f t="shared" si="5"/>
        <v>Brand Awareness</v>
      </c>
      <c r="J128" s="3" t="str">
        <f t="shared" si="6"/>
        <v>Meta Ads</v>
      </c>
      <c r="K128" t="str">
        <f t="shared" si="7"/>
        <v>28-04-2026</v>
      </c>
      <c r="L128">
        <f t="shared" si="8"/>
        <v>7.3833491611269393</v>
      </c>
      <c r="M128">
        <f t="shared" si="9"/>
        <v>9.0257142857142849</v>
      </c>
    </row>
    <row r="129" spans="1:13">
      <c r="A129">
        <v>5127</v>
      </c>
      <c r="B129" s="1">
        <v>46083</v>
      </c>
      <c r="C129" s="3" t="s">
        <v>14</v>
      </c>
      <c r="D129" s="3" t="s">
        <v>15</v>
      </c>
      <c r="E129" s="2">
        <v>280.74</v>
      </c>
      <c r="F129">
        <v>576</v>
      </c>
      <c r="G129">
        <v>16</v>
      </c>
      <c r="H129" s="2">
        <v>1270.72</v>
      </c>
      <c r="I129" s="3" t="str">
        <f t="shared" si="5"/>
        <v>Summer Sale</v>
      </c>
      <c r="J129" s="3" t="str">
        <f t="shared" si="6"/>
        <v>Meta Ads</v>
      </c>
      <c r="K129" t="str">
        <f t="shared" si="7"/>
        <v>02-03-2026</v>
      </c>
      <c r="L129">
        <f t="shared" si="8"/>
        <v>4.5263232884519482</v>
      </c>
      <c r="M129">
        <f t="shared" si="9"/>
        <v>17.546250000000001</v>
      </c>
    </row>
    <row r="130" spans="1:13">
      <c r="A130">
        <v>5128</v>
      </c>
      <c r="B130" s="1">
        <v>46037</v>
      </c>
      <c r="C130" s="3" t="s">
        <v>14</v>
      </c>
      <c r="D130" s="3" t="s">
        <v>19</v>
      </c>
      <c r="E130" s="2">
        <v>344.91</v>
      </c>
      <c r="F130">
        <v>315</v>
      </c>
      <c r="G130">
        <v>6</v>
      </c>
      <c r="H130" s="2">
        <v>322.08</v>
      </c>
      <c r="I130" s="3" t="str">
        <f t="shared" ref="I130:I193" si="10">TRIM(D130)</f>
        <v>New Arrivals</v>
      </c>
      <c r="J130" s="3" t="str">
        <f t="shared" ref="J130:J193" si="11">TRIM(PROPER(C130))</f>
        <v>Meta Ads</v>
      </c>
      <c r="K130" t="str">
        <f t="shared" si="7"/>
        <v>15-01-2026</v>
      </c>
      <c r="L130">
        <f t="shared" si="8"/>
        <v>0.93380881969209351</v>
      </c>
      <c r="M130">
        <f t="shared" si="9"/>
        <v>57.485000000000007</v>
      </c>
    </row>
    <row r="131" spans="1:13">
      <c r="A131">
        <v>5129</v>
      </c>
      <c r="B131" s="1">
        <v>46120</v>
      </c>
      <c r="C131" s="3" t="s">
        <v>10</v>
      </c>
      <c r="D131" s="3" t="s">
        <v>11</v>
      </c>
      <c r="E131" s="2">
        <v>279.94</v>
      </c>
      <c r="F131">
        <v>489</v>
      </c>
      <c r="G131">
        <v>23</v>
      </c>
      <c r="H131" s="2">
        <v>866.64</v>
      </c>
      <c r="I131" s="3" t="str">
        <f t="shared" si="10"/>
        <v>Search - Generic</v>
      </c>
      <c r="J131" s="3" t="str">
        <f t="shared" si="11"/>
        <v>Google Ads</v>
      </c>
      <c r="K131" t="str">
        <f t="shared" ref="K131:K194" si="12">TEXT(B131,"dd-mm-yyyy")</f>
        <v>08-04-2026</v>
      </c>
      <c r="L131">
        <f t="shared" ref="L131:L194" si="13">IF(E131=0,0,H131/E131)</f>
        <v>3.0958062441951846</v>
      </c>
      <c r="M131">
        <f t="shared" ref="M131:M194" si="14">IF(G131=0,0,E131/G131)</f>
        <v>12.171304347826087</v>
      </c>
    </row>
    <row r="132" spans="1:13">
      <c r="A132">
        <v>5130</v>
      </c>
      <c r="B132" s="1">
        <v>46058</v>
      </c>
      <c r="C132" s="3" t="s">
        <v>14</v>
      </c>
      <c r="D132" s="3" t="s">
        <v>22</v>
      </c>
      <c r="E132" s="2">
        <v>237.12</v>
      </c>
      <c r="F132">
        <v>357</v>
      </c>
      <c r="G132">
        <v>5</v>
      </c>
      <c r="H132" s="2">
        <v>201</v>
      </c>
      <c r="I132" s="3" t="str">
        <f t="shared" si="10"/>
        <v>Brand Awareness</v>
      </c>
      <c r="J132" s="3" t="str">
        <f t="shared" si="11"/>
        <v>Meta Ads</v>
      </c>
      <c r="K132" t="str">
        <f t="shared" si="12"/>
        <v>05-02-2026</v>
      </c>
      <c r="L132">
        <f t="shared" si="13"/>
        <v>0.84767206477732793</v>
      </c>
      <c r="M132">
        <f t="shared" si="14"/>
        <v>47.423999999999999</v>
      </c>
    </row>
    <row r="133" spans="1:13">
      <c r="A133">
        <v>5131</v>
      </c>
      <c r="B133" s="1">
        <v>46138</v>
      </c>
      <c r="C133" s="3" t="s">
        <v>10</v>
      </c>
      <c r="D133" s="3" t="s">
        <v>11</v>
      </c>
      <c r="E133" s="2">
        <v>94.73</v>
      </c>
      <c r="F133">
        <v>287</v>
      </c>
      <c r="G133">
        <v>12</v>
      </c>
      <c r="H133" s="2">
        <v>531.36</v>
      </c>
      <c r="I133" s="3" t="str">
        <f t="shared" si="10"/>
        <v>Search - Generic</v>
      </c>
      <c r="J133" s="3" t="str">
        <f t="shared" si="11"/>
        <v>Google Ads</v>
      </c>
      <c r="K133" t="str">
        <f t="shared" si="12"/>
        <v>26-04-2026</v>
      </c>
      <c r="L133">
        <f t="shared" si="13"/>
        <v>5.609205109257891</v>
      </c>
      <c r="M133">
        <f t="shared" si="14"/>
        <v>7.894166666666667</v>
      </c>
    </row>
    <row r="134" spans="1:13">
      <c r="A134">
        <v>5132</v>
      </c>
      <c r="B134" s="1">
        <v>46062</v>
      </c>
      <c r="C134" s="3" t="s">
        <v>8</v>
      </c>
      <c r="D134" s="3" t="s">
        <v>13</v>
      </c>
      <c r="E134" s="2">
        <v>77.209999999999994</v>
      </c>
      <c r="F134">
        <v>782</v>
      </c>
      <c r="G134">
        <v>32</v>
      </c>
      <c r="H134" s="2">
        <v>1557.76</v>
      </c>
      <c r="I134" s="3" t="str">
        <f t="shared" si="10"/>
        <v>Abandoned Cart</v>
      </c>
      <c r="J134" s="3" t="str">
        <f t="shared" si="11"/>
        <v>Email</v>
      </c>
      <c r="K134" t="str">
        <f t="shared" si="12"/>
        <v>09-02-2026</v>
      </c>
      <c r="L134">
        <f t="shared" si="13"/>
        <v>20.175624919051938</v>
      </c>
      <c r="M134">
        <f t="shared" si="14"/>
        <v>2.4128124999999998</v>
      </c>
    </row>
    <row r="135" spans="1:13">
      <c r="A135">
        <v>5133</v>
      </c>
      <c r="B135" s="1">
        <v>46064</v>
      </c>
      <c r="C135" s="3" t="s">
        <v>8</v>
      </c>
      <c r="D135" s="3" t="s">
        <v>9</v>
      </c>
      <c r="E135" s="2">
        <v>268.39</v>
      </c>
      <c r="F135">
        <v>529</v>
      </c>
      <c r="G135">
        <v>26</v>
      </c>
      <c r="H135" s="2">
        <v>886.86</v>
      </c>
      <c r="I135" s="3" t="str">
        <f t="shared" si="10"/>
        <v>Welcome Series</v>
      </c>
      <c r="J135" s="3" t="str">
        <f t="shared" si="11"/>
        <v>Email</v>
      </c>
      <c r="K135" t="str">
        <f t="shared" si="12"/>
        <v>11-02-2026</v>
      </c>
      <c r="L135">
        <f t="shared" si="13"/>
        <v>3.3043705056075119</v>
      </c>
      <c r="M135">
        <f t="shared" si="14"/>
        <v>10.322692307692307</v>
      </c>
    </row>
    <row r="136" spans="1:13">
      <c r="A136">
        <v>5134</v>
      </c>
      <c r="B136" s="1">
        <v>46127</v>
      </c>
      <c r="C136" s="3" t="s">
        <v>10</v>
      </c>
      <c r="D136" s="3" t="s">
        <v>11</v>
      </c>
      <c r="E136" s="2">
        <v>389.81</v>
      </c>
      <c r="F136">
        <v>738</v>
      </c>
      <c r="G136">
        <v>19</v>
      </c>
      <c r="H136" s="2">
        <v>1216.76</v>
      </c>
      <c r="I136" s="3" t="str">
        <f t="shared" si="10"/>
        <v>Search - Generic</v>
      </c>
      <c r="J136" s="3" t="str">
        <f t="shared" si="11"/>
        <v>Google Ads</v>
      </c>
      <c r="K136" t="str">
        <f t="shared" si="12"/>
        <v>15-04-2026</v>
      </c>
      <c r="L136">
        <f t="shared" si="13"/>
        <v>3.1214181267797132</v>
      </c>
      <c r="M136">
        <f t="shared" si="14"/>
        <v>20.516315789473683</v>
      </c>
    </row>
    <row r="137" spans="1:13">
      <c r="A137">
        <v>5135</v>
      </c>
      <c r="B137" s="1">
        <v>46058</v>
      </c>
      <c r="C137" s="3" t="s">
        <v>16</v>
      </c>
      <c r="D137" s="3" t="s">
        <v>9</v>
      </c>
      <c r="E137" s="2">
        <v>371.7</v>
      </c>
      <c r="F137">
        <v>427</v>
      </c>
      <c r="G137">
        <v>34</v>
      </c>
      <c r="H137" s="2">
        <v>2875.04</v>
      </c>
      <c r="I137" s="3" t="str">
        <f t="shared" si="10"/>
        <v>Welcome Series</v>
      </c>
      <c r="J137" s="3" t="str">
        <f t="shared" si="11"/>
        <v>Email</v>
      </c>
      <c r="K137" t="str">
        <f t="shared" si="12"/>
        <v>05-02-2026</v>
      </c>
      <c r="L137">
        <f t="shared" si="13"/>
        <v>7.7348399246704336</v>
      </c>
      <c r="M137">
        <f t="shared" si="14"/>
        <v>10.93235294117647</v>
      </c>
    </row>
    <row r="138" spans="1:13">
      <c r="A138">
        <v>5136</v>
      </c>
      <c r="B138" s="1">
        <v>46046</v>
      </c>
      <c r="C138" s="3" t="s">
        <v>10</v>
      </c>
      <c r="D138" s="3" t="s">
        <v>12</v>
      </c>
      <c r="E138" s="2">
        <v>139.19999999999999</v>
      </c>
      <c r="F138">
        <v>586</v>
      </c>
      <c r="G138">
        <v>31</v>
      </c>
      <c r="H138" s="2">
        <v>816.2</v>
      </c>
      <c r="I138" s="3" t="str">
        <f t="shared" si="10"/>
        <v>Display</v>
      </c>
      <c r="J138" s="3" t="str">
        <f t="shared" si="11"/>
        <v>Google Ads</v>
      </c>
      <c r="K138" t="str">
        <f t="shared" si="12"/>
        <v>24-01-2026</v>
      </c>
      <c r="L138">
        <f t="shared" si="13"/>
        <v>5.863505747126438</v>
      </c>
      <c r="M138">
        <f t="shared" si="14"/>
        <v>4.4903225806451612</v>
      </c>
    </row>
    <row r="139" spans="1:13">
      <c r="A139">
        <v>5137</v>
      </c>
      <c r="B139" s="1">
        <v>46137</v>
      </c>
      <c r="C139" s="3" t="s">
        <v>14</v>
      </c>
      <c r="D139" s="3" t="s">
        <v>19</v>
      </c>
      <c r="E139" s="2">
        <v>435.43</v>
      </c>
      <c r="F139">
        <v>338</v>
      </c>
      <c r="G139">
        <v>8</v>
      </c>
      <c r="H139" s="2">
        <v>651.44000000000005</v>
      </c>
      <c r="I139" s="3" t="str">
        <f t="shared" si="10"/>
        <v>New Arrivals</v>
      </c>
      <c r="J139" s="3" t="str">
        <f t="shared" si="11"/>
        <v>Meta Ads</v>
      </c>
      <c r="K139" t="str">
        <f t="shared" si="12"/>
        <v>25-04-2026</v>
      </c>
      <c r="L139">
        <f t="shared" si="13"/>
        <v>1.4960843304319869</v>
      </c>
      <c r="M139">
        <f t="shared" si="14"/>
        <v>54.428750000000001</v>
      </c>
    </row>
    <row r="140" spans="1:13">
      <c r="A140">
        <v>5138</v>
      </c>
      <c r="B140" s="1">
        <v>46137</v>
      </c>
      <c r="C140" s="3" t="s">
        <v>8</v>
      </c>
      <c r="D140" s="3" t="s">
        <v>13</v>
      </c>
      <c r="E140" s="2">
        <v>484.36</v>
      </c>
      <c r="F140">
        <v>239</v>
      </c>
      <c r="G140">
        <v>16</v>
      </c>
      <c r="H140" s="2">
        <v>1441.82</v>
      </c>
      <c r="I140" s="3" t="str">
        <f t="shared" si="10"/>
        <v>Abandoned Cart</v>
      </c>
      <c r="J140" s="3" t="str">
        <f t="shared" si="11"/>
        <v>Email</v>
      </c>
      <c r="K140" t="str">
        <f t="shared" si="12"/>
        <v>25-04-2026</v>
      </c>
      <c r="L140">
        <f t="shared" si="13"/>
        <v>2.9767528284746883</v>
      </c>
      <c r="M140">
        <f t="shared" si="14"/>
        <v>30.272500000000001</v>
      </c>
    </row>
    <row r="141" spans="1:13">
      <c r="A141">
        <v>5139</v>
      </c>
      <c r="B141" s="1">
        <v>46072</v>
      </c>
      <c r="C141" s="3" t="s">
        <v>14</v>
      </c>
      <c r="D141" s="3" t="s">
        <v>22</v>
      </c>
      <c r="E141" s="2">
        <v>69.37</v>
      </c>
      <c r="F141">
        <v>106</v>
      </c>
      <c r="G141">
        <v>2</v>
      </c>
      <c r="H141" s="2">
        <v>55.88</v>
      </c>
      <c r="I141" s="3" t="str">
        <f t="shared" si="10"/>
        <v>Brand Awareness</v>
      </c>
      <c r="J141" s="3" t="str">
        <f t="shared" si="11"/>
        <v>Meta Ads</v>
      </c>
      <c r="K141" t="str">
        <f t="shared" si="12"/>
        <v>19-02-2026</v>
      </c>
      <c r="L141">
        <f t="shared" si="13"/>
        <v>0.80553553409254719</v>
      </c>
      <c r="M141">
        <f t="shared" si="14"/>
        <v>34.685000000000002</v>
      </c>
    </row>
    <row r="142" spans="1:13">
      <c r="A142">
        <v>5140</v>
      </c>
      <c r="B142" s="1">
        <v>46126</v>
      </c>
      <c r="C142" s="3" t="s">
        <v>8</v>
      </c>
      <c r="D142" s="3" t="s">
        <v>13</v>
      </c>
      <c r="E142" s="2">
        <v>251.37</v>
      </c>
      <c r="F142">
        <v>774</v>
      </c>
      <c r="G142">
        <v>41</v>
      </c>
      <c r="H142" s="2">
        <v>3551.83</v>
      </c>
      <c r="I142" s="3" t="str">
        <f t="shared" si="10"/>
        <v>Abandoned Cart</v>
      </c>
      <c r="J142" s="3" t="str">
        <f t="shared" si="11"/>
        <v>Email</v>
      </c>
      <c r="K142" t="str">
        <f t="shared" si="12"/>
        <v>14-04-2026</v>
      </c>
      <c r="L142">
        <f t="shared" si="13"/>
        <v>14.129888212594979</v>
      </c>
      <c r="M142">
        <f t="shared" si="14"/>
        <v>6.1309756097560975</v>
      </c>
    </row>
    <row r="143" spans="1:13">
      <c r="A143">
        <v>5141</v>
      </c>
      <c r="B143" s="1">
        <v>46032</v>
      </c>
      <c r="C143" s="3" t="s">
        <v>14</v>
      </c>
      <c r="D143" s="3" t="s">
        <v>19</v>
      </c>
      <c r="E143" s="2">
        <v>180.84</v>
      </c>
      <c r="F143">
        <v>456</v>
      </c>
      <c r="G143">
        <v>12</v>
      </c>
      <c r="H143" s="2">
        <v>740.28</v>
      </c>
      <c r="I143" s="3" t="str">
        <f t="shared" si="10"/>
        <v>New Arrivals</v>
      </c>
      <c r="J143" s="3" t="str">
        <f t="shared" si="11"/>
        <v>Meta Ads</v>
      </c>
      <c r="K143" t="str">
        <f t="shared" si="12"/>
        <v>10-01-2026</v>
      </c>
      <c r="L143">
        <f t="shared" si="13"/>
        <v>4.0935633709356338</v>
      </c>
      <c r="M143">
        <f t="shared" si="14"/>
        <v>15.07</v>
      </c>
    </row>
    <row r="144" spans="1:13">
      <c r="A144">
        <v>5142</v>
      </c>
      <c r="B144" s="1">
        <v>46060</v>
      </c>
      <c r="C144" s="3" t="s">
        <v>25</v>
      </c>
      <c r="D144" s="3" t="s">
        <v>22</v>
      </c>
      <c r="E144" s="2">
        <v>72.33</v>
      </c>
      <c r="F144">
        <v>268</v>
      </c>
      <c r="G144">
        <v>2</v>
      </c>
      <c r="H144" s="2">
        <v>106.3</v>
      </c>
      <c r="I144" s="3" t="str">
        <f t="shared" si="10"/>
        <v>Brand Awareness</v>
      </c>
      <c r="J144" s="3" t="str">
        <f t="shared" si="11"/>
        <v>Meta Ads</v>
      </c>
      <c r="K144" t="str">
        <f t="shared" si="12"/>
        <v>07-02-2026</v>
      </c>
      <c r="L144">
        <f t="shared" si="13"/>
        <v>1.4696529793999724</v>
      </c>
      <c r="M144">
        <f t="shared" si="14"/>
        <v>36.164999999999999</v>
      </c>
    </row>
    <row r="145" spans="1:13">
      <c r="A145">
        <v>5143</v>
      </c>
      <c r="B145" s="1">
        <v>46139</v>
      </c>
      <c r="C145" s="3" t="s">
        <v>14</v>
      </c>
      <c r="D145" s="3" t="s">
        <v>15</v>
      </c>
      <c r="E145" s="2">
        <v>460.61</v>
      </c>
      <c r="F145">
        <v>648</v>
      </c>
      <c r="G145">
        <v>10</v>
      </c>
      <c r="H145" s="2">
        <v>602.5</v>
      </c>
      <c r="I145" s="3" t="str">
        <f t="shared" si="10"/>
        <v>Summer Sale</v>
      </c>
      <c r="J145" s="3" t="str">
        <f t="shared" si="11"/>
        <v>Meta Ads</v>
      </c>
      <c r="K145" t="str">
        <f t="shared" si="12"/>
        <v>27-04-2026</v>
      </c>
      <c r="L145">
        <f t="shared" si="13"/>
        <v>1.308048023273485</v>
      </c>
      <c r="M145">
        <f t="shared" si="14"/>
        <v>46.061</v>
      </c>
    </row>
    <row r="146" spans="1:13">
      <c r="A146">
        <v>5144</v>
      </c>
      <c r="B146" s="1">
        <v>46033</v>
      </c>
      <c r="C146" s="3" t="s">
        <v>14</v>
      </c>
      <c r="D146" s="3" t="s">
        <v>19</v>
      </c>
      <c r="E146" s="2">
        <v>48.96</v>
      </c>
      <c r="F146">
        <v>536</v>
      </c>
      <c r="G146">
        <v>15</v>
      </c>
      <c r="H146" s="2">
        <v>457.35</v>
      </c>
      <c r="I146" s="3" t="str">
        <f t="shared" si="10"/>
        <v>New Arrivals</v>
      </c>
      <c r="J146" s="3" t="str">
        <f t="shared" si="11"/>
        <v>Meta Ads</v>
      </c>
      <c r="K146" t="str">
        <f t="shared" si="12"/>
        <v>11-01-2026</v>
      </c>
      <c r="L146">
        <f t="shared" si="13"/>
        <v>9.3412990196078436</v>
      </c>
      <c r="M146">
        <f t="shared" si="14"/>
        <v>3.2640000000000002</v>
      </c>
    </row>
    <row r="147" spans="1:13">
      <c r="A147">
        <v>5145</v>
      </c>
      <c r="B147" s="1">
        <v>46127</v>
      </c>
      <c r="C147" s="3" t="s">
        <v>10</v>
      </c>
      <c r="D147" s="3" t="s">
        <v>11</v>
      </c>
      <c r="E147" s="2">
        <v>157.84</v>
      </c>
      <c r="F147">
        <v>475</v>
      </c>
      <c r="G147">
        <v>21</v>
      </c>
      <c r="H147" s="2">
        <v>1303.26</v>
      </c>
      <c r="I147" s="3" t="str">
        <f t="shared" si="10"/>
        <v>Search - Generic</v>
      </c>
      <c r="J147" s="3" t="str">
        <f t="shared" si="11"/>
        <v>Google Ads</v>
      </c>
      <c r="K147" t="str">
        <f t="shared" si="12"/>
        <v>15-04-2026</v>
      </c>
      <c r="L147">
        <f t="shared" si="13"/>
        <v>8.2568423720223016</v>
      </c>
      <c r="M147">
        <f t="shared" si="14"/>
        <v>7.5161904761904763</v>
      </c>
    </row>
    <row r="148" spans="1:13">
      <c r="A148">
        <v>5146</v>
      </c>
      <c r="B148" s="1">
        <v>46179</v>
      </c>
      <c r="C148" s="3" t="s">
        <v>10</v>
      </c>
      <c r="D148" s="3" t="s">
        <v>18</v>
      </c>
      <c r="E148" s="2">
        <v>180.16</v>
      </c>
      <c r="F148">
        <v>479</v>
      </c>
      <c r="G148">
        <v>8</v>
      </c>
      <c r="H148" s="2">
        <v>399.28</v>
      </c>
      <c r="I148" s="3" t="str">
        <f t="shared" si="10"/>
        <v>Shopping</v>
      </c>
      <c r="J148" s="3" t="str">
        <f t="shared" si="11"/>
        <v>Google Ads</v>
      </c>
      <c r="K148" t="str">
        <f t="shared" si="12"/>
        <v>06-06-2026</v>
      </c>
      <c r="L148">
        <f t="shared" si="13"/>
        <v>2.2162522202486676</v>
      </c>
      <c r="M148">
        <f t="shared" si="14"/>
        <v>22.52</v>
      </c>
    </row>
    <row r="149" spans="1:13">
      <c r="A149">
        <v>5147</v>
      </c>
      <c r="B149" s="1">
        <v>46045</v>
      </c>
      <c r="C149" s="3" t="s">
        <v>10</v>
      </c>
      <c r="D149" s="3" t="s">
        <v>18</v>
      </c>
      <c r="E149" s="2">
        <v>161.84</v>
      </c>
      <c r="F149">
        <v>800</v>
      </c>
      <c r="G149">
        <v>16</v>
      </c>
      <c r="H149" s="2">
        <v>973.12</v>
      </c>
      <c r="I149" s="3" t="str">
        <f t="shared" si="10"/>
        <v>Shopping</v>
      </c>
      <c r="J149" s="3" t="str">
        <f t="shared" si="11"/>
        <v>Google Ads</v>
      </c>
      <c r="K149" t="str">
        <f t="shared" si="12"/>
        <v>23-01-2026</v>
      </c>
      <c r="L149">
        <f t="shared" si="13"/>
        <v>6.0128521997034108</v>
      </c>
      <c r="M149">
        <f t="shared" si="14"/>
        <v>10.115</v>
      </c>
    </row>
    <row r="150" spans="1:13">
      <c r="A150">
        <v>5148</v>
      </c>
      <c r="B150" s="1">
        <v>46113</v>
      </c>
      <c r="C150" s="3" t="s">
        <v>8</v>
      </c>
      <c r="D150" s="3" t="s">
        <v>13</v>
      </c>
      <c r="E150" s="2">
        <v>468.3</v>
      </c>
      <c r="F150">
        <v>436</v>
      </c>
      <c r="G150">
        <v>21</v>
      </c>
      <c r="H150" s="2">
        <v>1006.11</v>
      </c>
      <c r="I150" s="3" t="str">
        <f t="shared" si="10"/>
        <v>Abandoned Cart</v>
      </c>
      <c r="J150" s="3" t="str">
        <f t="shared" si="11"/>
        <v>Email</v>
      </c>
      <c r="K150" t="str">
        <f t="shared" si="12"/>
        <v>01-04-2026</v>
      </c>
      <c r="L150">
        <f t="shared" si="13"/>
        <v>2.1484304932735427</v>
      </c>
      <c r="M150">
        <f t="shared" si="14"/>
        <v>22.3</v>
      </c>
    </row>
    <row r="151" spans="1:13">
      <c r="A151">
        <v>5149</v>
      </c>
      <c r="B151" s="1">
        <v>46058</v>
      </c>
      <c r="C151" s="3" t="s">
        <v>8</v>
      </c>
      <c r="D151" s="3" t="s">
        <v>13</v>
      </c>
      <c r="E151" s="2">
        <v>217</v>
      </c>
      <c r="F151">
        <v>573</v>
      </c>
      <c r="G151">
        <v>37</v>
      </c>
      <c r="H151" s="2">
        <v>2122.3200000000002</v>
      </c>
      <c r="I151" s="3" t="str">
        <f t="shared" si="10"/>
        <v>Abandoned Cart</v>
      </c>
      <c r="J151" s="3" t="str">
        <f t="shared" si="11"/>
        <v>Email</v>
      </c>
      <c r="K151" t="str">
        <f t="shared" si="12"/>
        <v>05-02-2026</v>
      </c>
      <c r="L151">
        <f t="shared" si="13"/>
        <v>9.7802764976958532</v>
      </c>
      <c r="M151">
        <f t="shared" si="14"/>
        <v>5.8648648648648649</v>
      </c>
    </row>
    <row r="152" spans="1:13">
      <c r="A152">
        <v>5150</v>
      </c>
      <c r="B152" s="1">
        <v>46178</v>
      </c>
      <c r="C152" s="3" t="s">
        <v>10</v>
      </c>
      <c r="D152" s="3" t="s">
        <v>12</v>
      </c>
      <c r="E152" s="2">
        <v>189.26</v>
      </c>
      <c r="F152">
        <v>371</v>
      </c>
      <c r="G152">
        <v>13</v>
      </c>
      <c r="H152" s="2">
        <v>794.3</v>
      </c>
      <c r="I152" s="3" t="str">
        <f t="shared" si="10"/>
        <v>Display</v>
      </c>
      <c r="J152" s="3" t="str">
        <f t="shared" si="11"/>
        <v>Google Ads</v>
      </c>
      <c r="K152" t="str">
        <f t="shared" si="12"/>
        <v>05-06-2026</v>
      </c>
      <c r="L152">
        <f t="shared" si="13"/>
        <v>4.1968720278981291</v>
      </c>
      <c r="M152">
        <f t="shared" si="14"/>
        <v>14.558461538461538</v>
      </c>
    </row>
    <row r="153" spans="1:13">
      <c r="A153">
        <v>5151</v>
      </c>
      <c r="B153" s="1">
        <v>46136</v>
      </c>
      <c r="C153" s="3" t="s">
        <v>14</v>
      </c>
      <c r="D153" s="3" t="s">
        <v>19</v>
      </c>
      <c r="E153" s="2">
        <v>200.96</v>
      </c>
      <c r="F153">
        <v>247</v>
      </c>
      <c r="G153">
        <v>2</v>
      </c>
      <c r="H153" s="2">
        <v>169.62</v>
      </c>
      <c r="I153" s="3" t="str">
        <f t="shared" si="10"/>
        <v>New Arrivals</v>
      </c>
      <c r="J153" s="3" t="str">
        <f t="shared" si="11"/>
        <v>Meta Ads</v>
      </c>
      <c r="K153" t="str">
        <f t="shared" si="12"/>
        <v>24-04-2026</v>
      </c>
      <c r="L153">
        <f t="shared" si="13"/>
        <v>0.84404856687898089</v>
      </c>
      <c r="M153">
        <f t="shared" si="14"/>
        <v>100.48</v>
      </c>
    </row>
    <row r="154" spans="1:13">
      <c r="A154">
        <v>5152</v>
      </c>
      <c r="B154" s="1">
        <v>46132</v>
      </c>
      <c r="C154" s="3" t="s">
        <v>14</v>
      </c>
      <c r="D154" s="3" t="s">
        <v>15</v>
      </c>
      <c r="E154" s="2">
        <v>163.91</v>
      </c>
      <c r="F154">
        <v>559</v>
      </c>
      <c r="G154">
        <v>14</v>
      </c>
      <c r="H154" s="2">
        <v>840</v>
      </c>
      <c r="I154" s="3" t="str">
        <f t="shared" si="10"/>
        <v>Summer Sale</v>
      </c>
      <c r="J154" s="3" t="str">
        <f t="shared" si="11"/>
        <v>Meta Ads</v>
      </c>
      <c r="K154" t="str">
        <f t="shared" si="12"/>
        <v>20-04-2026</v>
      </c>
      <c r="L154">
        <f t="shared" si="13"/>
        <v>5.1247635897748767</v>
      </c>
      <c r="M154">
        <f t="shared" si="14"/>
        <v>11.707857142857142</v>
      </c>
    </row>
    <row r="155" spans="1:13">
      <c r="A155">
        <v>5153</v>
      </c>
      <c r="B155" s="1">
        <v>46114</v>
      </c>
      <c r="C155" s="3" t="s">
        <v>16</v>
      </c>
      <c r="D155" s="3" t="s">
        <v>9</v>
      </c>
      <c r="E155" s="2">
        <v>52.77</v>
      </c>
      <c r="F155">
        <v>244</v>
      </c>
      <c r="G155">
        <v>8</v>
      </c>
      <c r="H155" s="2">
        <v>394.72</v>
      </c>
      <c r="I155" s="3" t="str">
        <f t="shared" si="10"/>
        <v>Welcome Series</v>
      </c>
      <c r="J155" s="3" t="str">
        <f t="shared" si="11"/>
        <v>Email</v>
      </c>
      <c r="K155" t="str">
        <f t="shared" si="12"/>
        <v>02-04-2026</v>
      </c>
      <c r="L155">
        <f t="shared" si="13"/>
        <v>7.4800075800644308</v>
      </c>
      <c r="M155">
        <f t="shared" si="14"/>
        <v>6.5962500000000004</v>
      </c>
    </row>
    <row r="156" spans="1:13">
      <c r="A156">
        <v>5154</v>
      </c>
      <c r="B156" s="1">
        <v>46147</v>
      </c>
      <c r="C156" s="3" t="s">
        <v>10</v>
      </c>
      <c r="D156" s="3" t="s">
        <v>18</v>
      </c>
      <c r="E156" s="2">
        <v>64.28</v>
      </c>
      <c r="F156">
        <v>381</v>
      </c>
      <c r="G156">
        <v>12</v>
      </c>
      <c r="H156" s="2">
        <v>1063.2</v>
      </c>
      <c r="I156" s="3" t="str">
        <f t="shared" si="10"/>
        <v>Shopping</v>
      </c>
      <c r="J156" s="3" t="str">
        <f t="shared" si="11"/>
        <v>Google Ads</v>
      </c>
      <c r="K156" t="str">
        <f t="shared" si="12"/>
        <v>05-05-2026</v>
      </c>
      <c r="L156">
        <f t="shared" si="13"/>
        <v>16.54013690105787</v>
      </c>
      <c r="M156">
        <f t="shared" si="14"/>
        <v>5.3566666666666665</v>
      </c>
    </row>
    <row r="157" spans="1:13">
      <c r="A157">
        <v>5155</v>
      </c>
      <c r="B157" s="1">
        <v>46153</v>
      </c>
      <c r="C157" s="3" t="s">
        <v>8</v>
      </c>
      <c r="D157" s="3" t="s">
        <v>13</v>
      </c>
      <c r="E157" s="2">
        <v>119.74</v>
      </c>
      <c r="F157">
        <v>202</v>
      </c>
      <c r="G157">
        <v>11</v>
      </c>
      <c r="H157" s="2">
        <v>318.01</v>
      </c>
      <c r="I157" s="3" t="str">
        <f t="shared" si="10"/>
        <v>Abandoned Cart</v>
      </c>
      <c r="J157" s="3" t="str">
        <f t="shared" si="11"/>
        <v>Email</v>
      </c>
      <c r="K157" t="str">
        <f t="shared" si="12"/>
        <v>11-05-2026</v>
      </c>
      <c r="L157">
        <f t="shared" si="13"/>
        <v>2.6558376482378487</v>
      </c>
      <c r="M157">
        <f t="shared" si="14"/>
        <v>10.885454545454545</v>
      </c>
    </row>
    <row r="158" spans="1:13">
      <c r="A158">
        <v>5156</v>
      </c>
      <c r="B158" s="1">
        <v>46200</v>
      </c>
      <c r="C158" s="3" t="s">
        <v>14</v>
      </c>
      <c r="D158" s="3" t="s">
        <v>15</v>
      </c>
      <c r="E158" s="2">
        <v>280.74</v>
      </c>
      <c r="F158">
        <v>447</v>
      </c>
      <c r="G158">
        <v>5</v>
      </c>
      <c r="H158" s="2">
        <v>157</v>
      </c>
      <c r="I158" s="3" t="str">
        <f t="shared" si="10"/>
        <v>Summer Sale</v>
      </c>
      <c r="J158" s="3" t="str">
        <f t="shared" si="11"/>
        <v>Meta Ads</v>
      </c>
      <c r="K158" t="str">
        <f t="shared" si="12"/>
        <v>27-06-2026</v>
      </c>
      <c r="L158">
        <f t="shared" si="13"/>
        <v>0.55923630405357272</v>
      </c>
      <c r="M158">
        <f t="shared" si="14"/>
        <v>56.148000000000003</v>
      </c>
    </row>
    <row r="159" spans="1:13">
      <c r="A159">
        <v>5157</v>
      </c>
      <c r="B159" s="1">
        <v>46188</v>
      </c>
      <c r="C159" s="3" t="s">
        <v>8</v>
      </c>
      <c r="D159" s="3" t="s">
        <v>13</v>
      </c>
      <c r="E159" s="2">
        <v>95.25</v>
      </c>
      <c r="F159">
        <v>787</v>
      </c>
      <c r="G159">
        <v>47</v>
      </c>
      <c r="H159" s="2">
        <v>1263.83</v>
      </c>
      <c r="I159" s="3" t="str">
        <f t="shared" si="10"/>
        <v>Abandoned Cart</v>
      </c>
      <c r="J159" s="3" t="str">
        <f t="shared" si="11"/>
        <v>Email</v>
      </c>
      <c r="K159" t="str">
        <f t="shared" si="12"/>
        <v>15-06-2026</v>
      </c>
      <c r="L159">
        <f t="shared" si="13"/>
        <v>13.268556430446193</v>
      </c>
      <c r="M159">
        <f t="shared" si="14"/>
        <v>2.0265957446808511</v>
      </c>
    </row>
    <row r="160" spans="1:13">
      <c r="A160">
        <v>5158</v>
      </c>
      <c r="B160" s="1">
        <v>46038</v>
      </c>
      <c r="C160" s="3" t="s">
        <v>8</v>
      </c>
      <c r="D160" s="3" t="s">
        <v>9</v>
      </c>
      <c r="E160" s="2">
        <v>152.21</v>
      </c>
      <c r="F160">
        <v>43</v>
      </c>
      <c r="G160">
        <v>1</v>
      </c>
      <c r="H160" s="2">
        <v>31.46</v>
      </c>
      <c r="I160" s="3" t="str">
        <f t="shared" si="10"/>
        <v>Welcome Series</v>
      </c>
      <c r="J160" s="3" t="str">
        <f t="shared" si="11"/>
        <v>Email</v>
      </c>
      <c r="K160" t="str">
        <f t="shared" si="12"/>
        <v>16-01-2026</v>
      </c>
      <c r="L160">
        <f t="shared" si="13"/>
        <v>0.20668812824387359</v>
      </c>
      <c r="M160">
        <f t="shared" si="14"/>
        <v>152.21</v>
      </c>
    </row>
    <row r="161" spans="1:13">
      <c r="A161">
        <v>5159</v>
      </c>
      <c r="B161" s="1">
        <v>46036</v>
      </c>
      <c r="C161" s="3" t="s">
        <v>10</v>
      </c>
      <c r="D161" s="3" t="s">
        <v>20</v>
      </c>
      <c r="E161" s="2">
        <v>139.68</v>
      </c>
      <c r="F161">
        <v>384</v>
      </c>
      <c r="G161">
        <v>1</v>
      </c>
      <c r="H161" s="2">
        <v>63.15</v>
      </c>
      <c r="I161" s="3" t="str">
        <f t="shared" si="10"/>
        <v>Search - Brand</v>
      </c>
      <c r="J161" s="3" t="str">
        <f t="shared" si="11"/>
        <v>Google Ads</v>
      </c>
      <c r="K161" t="str">
        <f t="shared" si="12"/>
        <v>14-01-2026</v>
      </c>
      <c r="L161">
        <f t="shared" si="13"/>
        <v>0.45210481099656352</v>
      </c>
      <c r="M161">
        <f t="shared" si="14"/>
        <v>139.68</v>
      </c>
    </row>
    <row r="162" spans="1:13">
      <c r="A162">
        <v>5160</v>
      </c>
      <c r="B162" s="1">
        <v>46087</v>
      </c>
      <c r="C162" s="3" t="s">
        <v>14</v>
      </c>
      <c r="D162" s="3" t="s">
        <v>23</v>
      </c>
      <c r="E162" s="2">
        <v>300.70999999999998</v>
      </c>
      <c r="F162">
        <v>433</v>
      </c>
      <c r="G162">
        <v>7</v>
      </c>
      <c r="H162" s="2">
        <v>573.29999999999995</v>
      </c>
      <c r="I162" s="3" t="str">
        <f t="shared" si="10"/>
        <v>Retargeting</v>
      </c>
      <c r="J162" s="3" t="str">
        <f t="shared" si="11"/>
        <v>Meta Ads</v>
      </c>
      <c r="K162" t="str">
        <f t="shared" si="12"/>
        <v>06-03-2026</v>
      </c>
      <c r="L162">
        <f t="shared" si="13"/>
        <v>1.9064879784509994</v>
      </c>
      <c r="M162">
        <f t="shared" si="14"/>
        <v>42.958571428571425</v>
      </c>
    </row>
    <row r="163" spans="1:13">
      <c r="A163">
        <v>5161</v>
      </c>
      <c r="B163" s="1">
        <v>46070</v>
      </c>
      <c r="C163" s="3" t="s">
        <v>10</v>
      </c>
      <c r="D163" s="3" t="s">
        <v>12</v>
      </c>
      <c r="E163" s="2">
        <v>276.2</v>
      </c>
      <c r="F163">
        <v>404</v>
      </c>
      <c r="G163">
        <v>13</v>
      </c>
      <c r="H163" s="2">
        <v>875.29</v>
      </c>
      <c r="I163" s="3" t="str">
        <f t="shared" si="10"/>
        <v>Display</v>
      </c>
      <c r="J163" s="3" t="str">
        <f t="shared" si="11"/>
        <v>Google Ads</v>
      </c>
      <c r="K163" t="str">
        <f t="shared" si="12"/>
        <v>17-02-2026</v>
      </c>
      <c r="L163">
        <f t="shared" si="13"/>
        <v>3.1690441708906589</v>
      </c>
      <c r="M163">
        <f t="shared" si="14"/>
        <v>21.246153846153845</v>
      </c>
    </row>
    <row r="164" spans="1:13">
      <c r="A164">
        <v>5162</v>
      </c>
      <c r="B164" s="1">
        <v>46142</v>
      </c>
      <c r="C164" s="3" t="s">
        <v>10</v>
      </c>
      <c r="D164" s="3" t="s">
        <v>11</v>
      </c>
      <c r="E164" s="2">
        <v>32.14</v>
      </c>
      <c r="F164">
        <v>169</v>
      </c>
      <c r="G164">
        <v>5</v>
      </c>
      <c r="H164" s="2">
        <v>167.2</v>
      </c>
      <c r="I164" s="3" t="str">
        <f t="shared" si="10"/>
        <v>Search - Generic</v>
      </c>
      <c r="J164" s="3" t="str">
        <f t="shared" si="11"/>
        <v>Google Ads</v>
      </c>
      <c r="K164" t="str">
        <f t="shared" si="12"/>
        <v>30-04-2026</v>
      </c>
      <c r="L164">
        <f t="shared" si="13"/>
        <v>5.202240199128811</v>
      </c>
      <c r="M164">
        <f t="shared" si="14"/>
        <v>6.4279999999999999</v>
      </c>
    </row>
    <row r="165" spans="1:13">
      <c r="A165">
        <v>5163</v>
      </c>
      <c r="B165" s="1">
        <v>46084</v>
      </c>
      <c r="C165" s="3" t="s">
        <v>10</v>
      </c>
      <c r="D165" s="3" t="s">
        <v>18</v>
      </c>
      <c r="E165" s="2">
        <v>322.08</v>
      </c>
      <c r="F165">
        <v>604</v>
      </c>
      <c r="G165">
        <v>17</v>
      </c>
      <c r="H165" s="2">
        <v>1475.77</v>
      </c>
      <c r="I165" s="3" t="str">
        <f t="shared" si="10"/>
        <v>Shopping</v>
      </c>
      <c r="J165" s="3" t="str">
        <f t="shared" si="11"/>
        <v>Google Ads</v>
      </c>
      <c r="K165" t="str">
        <f t="shared" si="12"/>
        <v>03-03-2026</v>
      </c>
      <c r="L165">
        <f t="shared" si="13"/>
        <v>4.58199826130154</v>
      </c>
      <c r="M165">
        <f t="shared" si="14"/>
        <v>18.945882352941176</v>
      </c>
    </row>
    <row r="166" spans="1:13">
      <c r="A166">
        <v>5164</v>
      </c>
      <c r="B166" s="1">
        <v>46089</v>
      </c>
      <c r="C166" s="3" t="s">
        <v>8</v>
      </c>
      <c r="D166" s="3" t="s">
        <v>9</v>
      </c>
      <c r="E166" s="2">
        <v>264.89</v>
      </c>
      <c r="F166">
        <v>138</v>
      </c>
      <c r="G166">
        <v>11</v>
      </c>
      <c r="H166" s="2">
        <v>362.78</v>
      </c>
      <c r="I166" s="3" t="str">
        <f t="shared" si="10"/>
        <v>Welcome Series</v>
      </c>
      <c r="J166" s="3" t="str">
        <f t="shared" si="11"/>
        <v>Email</v>
      </c>
      <c r="K166" t="str">
        <f t="shared" si="12"/>
        <v>08-03-2026</v>
      </c>
      <c r="L166">
        <f t="shared" si="13"/>
        <v>1.369549624372381</v>
      </c>
      <c r="M166">
        <f t="shared" si="14"/>
        <v>24.080909090909088</v>
      </c>
    </row>
    <row r="167" spans="1:13">
      <c r="A167">
        <v>5165</v>
      </c>
      <c r="B167" s="1">
        <v>46191</v>
      </c>
      <c r="C167" s="3" t="s">
        <v>21</v>
      </c>
      <c r="D167" s="3" t="s">
        <v>20</v>
      </c>
      <c r="E167" s="2">
        <v>104.98</v>
      </c>
      <c r="F167">
        <v>247</v>
      </c>
      <c r="G167">
        <v>8</v>
      </c>
      <c r="H167" s="2">
        <v>544.64</v>
      </c>
      <c r="I167" s="3" t="str">
        <f t="shared" si="10"/>
        <v>Search - Brand</v>
      </c>
      <c r="J167" s="3" t="str">
        <f t="shared" si="11"/>
        <v>Google Ads</v>
      </c>
      <c r="K167" t="str">
        <f t="shared" si="12"/>
        <v>18-06-2026</v>
      </c>
      <c r="L167">
        <f t="shared" si="13"/>
        <v>5.1880358163459706</v>
      </c>
      <c r="M167">
        <f t="shared" si="14"/>
        <v>13.1225</v>
      </c>
    </row>
    <row r="168" spans="1:13">
      <c r="A168">
        <v>5166</v>
      </c>
      <c r="B168" s="1">
        <v>46138</v>
      </c>
      <c r="C168" s="3" t="s">
        <v>14</v>
      </c>
      <c r="D168" s="3" t="s">
        <v>23</v>
      </c>
      <c r="E168" s="2">
        <v>211.51</v>
      </c>
      <c r="F168">
        <v>374</v>
      </c>
      <c r="G168">
        <v>6</v>
      </c>
      <c r="H168" s="2">
        <v>504.48</v>
      </c>
      <c r="I168" s="3" t="str">
        <f t="shared" si="10"/>
        <v>Retargeting</v>
      </c>
      <c r="J168" s="3" t="str">
        <f t="shared" si="11"/>
        <v>Meta Ads</v>
      </c>
      <c r="K168" t="str">
        <f t="shared" si="12"/>
        <v>26-04-2026</v>
      </c>
      <c r="L168">
        <f t="shared" si="13"/>
        <v>2.3851354545884358</v>
      </c>
      <c r="M168">
        <f t="shared" si="14"/>
        <v>35.251666666666665</v>
      </c>
    </row>
    <row r="169" spans="1:13">
      <c r="A169">
        <v>5167</v>
      </c>
      <c r="B169" s="1">
        <v>46030</v>
      </c>
      <c r="C169" s="3" t="s">
        <v>16</v>
      </c>
      <c r="D169" s="3" t="s">
        <v>9</v>
      </c>
      <c r="E169" s="2">
        <v>357.82</v>
      </c>
      <c r="F169">
        <v>483</v>
      </c>
      <c r="G169">
        <v>21</v>
      </c>
      <c r="H169" s="2">
        <v>1680.84</v>
      </c>
      <c r="I169" s="3" t="str">
        <f t="shared" si="10"/>
        <v>Welcome Series</v>
      </c>
      <c r="J169" s="3" t="str">
        <f t="shared" si="11"/>
        <v>Email</v>
      </c>
      <c r="K169" t="str">
        <f t="shared" si="12"/>
        <v>08-01-2026</v>
      </c>
      <c r="L169">
        <f t="shared" si="13"/>
        <v>4.6974456430607567</v>
      </c>
      <c r="M169">
        <f t="shared" si="14"/>
        <v>17.039047619047619</v>
      </c>
    </row>
    <row r="170" spans="1:13">
      <c r="A170">
        <v>5168</v>
      </c>
      <c r="B170" s="1">
        <v>46079</v>
      </c>
      <c r="C170" s="3" t="s">
        <v>10</v>
      </c>
      <c r="D170" s="3" t="s">
        <v>20</v>
      </c>
      <c r="E170" s="2">
        <v>383.34</v>
      </c>
      <c r="F170">
        <v>169</v>
      </c>
      <c r="G170">
        <v>5</v>
      </c>
      <c r="H170" s="2">
        <v>137.75</v>
      </c>
      <c r="I170" s="3" t="str">
        <f t="shared" si="10"/>
        <v>Search - Brand</v>
      </c>
      <c r="J170" s="3" t="str">
        <f t="shared" si="11"/>
        <v>Google Ads</v>
      </c>
      <c r="K170" t="str">
        <f t="shared" si="12"/>
        <v>26-02-2026</v>
      </c>
      <c r="L170">
        <f t="shared" si="13"/>
        <v>0.35934157666823185</v>
      </c>
      <c r="M170">
        <f t="shared" si="14"/>
        <v>76.667999999999992</v>
      </c>
    </row>
    <row r="171" spans="1:13">
      <c r="A171">
        <v>5169</v>
      </c>
      <c r="B171" s="1">
        <v>46156</v>
      </c>
      <c r="C171" s="3" t="s">
        <v>10</v>
      </c>
      <c r="D171" s="3" t="s">
        <v>18</v>
      </c>
      <c r="E171" s="2">
        <v>386.58</v>
      </c>
      <c r="F171">
        <v>681</v>
      </c>
      <c r="G171">
        <v>21</v>
      </c>
      <c r="H171" s="2">
        <v>583.59</v>
      </c>
      <c r="I171" s="3" t="str">
        <f t="shared" si="10"/>
        <v>Shopping</v>
      </c>
      <c r="J171" s="3" t="str">
        <f t="shared" si="11"/>
        <v>Google Ads</v>
      </c>
      <c r="K171" t="str">
        <f t="shared" si="12"/>
        <v>14-05-2026</v>
      </c>
      <c r="L171">
        <f t="shared" si="13"/>
        <v>1.5096228465000778</v>
      </c>
      <c r="M171">
        <f t="shared" si="14"/>
        <v>18.408571428571427</v>
      </c>
    </row>
    <row r="172" spans="1:13">
      <c r="A172">
        <v>5170</v>
      </c>
      <c r="B172" s="1">
        <v>46104</v>
      </c>
      <c r="C172" s="3" t="s">
        <v>10</v>
      </c>
      <c r="D172" s="3" t="s">
        <v>20</v>
      </c>
      <c r="E172" s="2">
        <v>499.09</v>
      </c>
      <c r="F172">
        <v>640</v>
      </c>
      <c r="G172">
        <v>34</v>
      </c>
      <c r="H172" s="2">
        <v>1471.52</v>
      </c>
      <c r="I172" s="3" t="str">
        <f t="shared" si="10"/>
        <v>Search - Brand</v>
      </c>
      <c r="J172" s="3" t="str">
        <f t="shared" si="11"/>
        <v>Google Ads</v>
      </c>
      <c r="K172" t="str">
        <f t="shared" si="12"/>
        <v>23-03-2026</v>
      </c>
      <c r="L172">
        <f t="shared" si="13"/>
        <v>2.9484060991003629</v>
      </c>
      <c r="M172">
        <f t="shared" si="14"/>
        <v>14.679117647058822</v>
      </c>
    </row>
    <row r="173" spans="1:13">
      <c r="A173">
        <v>5171</v>
      </c>
      <c r="B173" s="1">
        <v>46199</v>
      </c>
      <c r="C173" s="3" t="s">
        <v>8</v>
      </c>
      <c r="D173" s="3" t="s">
        <v>17</v>
      </c>
      <c r="E173" s="2">
        <v>343.1</v>
      </c>
      <c r="F173">
        <v>140</v>
      </c>
      <c r="G173">
        <v>8</v>
      </c>
      <c r="H173" s="2">
        <v>298.39999999999998</v>
      </c>
      <c r="I173" s="3" t="str">
        <f t="shared" si="10"/>
        <v>Newsletter</v>
      </c>
      <c r="J173" s="3" t="str">
        <f t="shared" si="11"/>
        <v>Email</v>
      </c>
      <c r="K173" t="str">
        <f t="shared" si="12"/>
        <v>26-06-2026</v>
      </c>
      <c r="L173">
        <f t="shared" si="13"/>
        <v>0.8697172835907897</v>
      </c>
      <c r="M173">
        <f t="shared" si="14"/>
        <v>42.887500000000003</v>
      </c>
    </row>
    <row r="174" spans="1:13">
      <c r="A174">
        <v>5172</v>
      </c>
      <c r="B174" s="1">
        <v>46186</v>
      </c>
      <c r="C174" s="3" t="s">
        <v>16</v>
      </c>
      <c r="D174" s="3" t="s">
        <v>9</v>
      </c>
      <c r="E174" s="2">
        <v>191.76</v>
      </c>
      <c r="F174">
        <v>431</v>
      </c>
      <c r="G174">
        <v>15</v>
      </c>
      <c r="H174" s="2">
        <v>995.55</v>
      </c>
      <c r="I174" s="3" t="str">
        <f t="shared" si="10"/>
        <v>Welcome Series</v>
      </c>
      <c r="J174" s="3" t="str">
        <f t="shared" si="11"/>
        <v>Email</v>
      </c>
      <c r="K174" t="str">
        <f t="shared" si="12"/>
        <v>13-06-2026</v>
      </c>
      <c r="L174">
        <f t="shared" si="13"/>
        <v>5.1916458072590741</v>
      </c>
      <c r="M174">
        <f t="shared" si="14"/>
        <v>12.783999999999999</v>
      </c>
    </row>
    <row r="175" spans="1:13">
      <c r="A175">
        <v>5173</v>
      </c>
      <c r="B175" s="1">
        <v>46024</v>
      </c>
      <c r="C175" s="3" t="s">
        <v>14</v>
      </c>
      <c r="D175" s="3" t="s">
        <v>19</v>
      </c>
      <c r="E175" s="2">
        <v>359.7</v>
      </c>
      <c r="F175">
        <v>611</v>
      </c>
      <c r="G175">
        <v>12</v>
      </c>
      <c r="H175" s="2">
        <v>560.16</v>
      </c>
      <c r="I175" s="3" t="str">
        <f t="shared" si="10"/>
        <v>New Arrivals</v>
      </c>
      <c r="J175" s="3" t="str">
        <f t="shared" si="11"/>
        <v>Meta Ads</v>
      </c>
      <c r="K175" t="str">
        <f t="shared" si="12"/>
        <v>02-01-2026</v>
      </c>
      <c r="L175">
        <f t="shared" si="13"/>
        <v>1.5572977481234362</v>
      </c>
      <c r="M175">
        <f t="shared" si="14"/>
        <v>29.974999999999998</v>
      </c>
    </row>
    <row r="176" spans="1:13">
      <c r="A176">
        <v>5174</v>
      </c>
      <c r="B176" s="1">
        <v>46176</v>
      </c>
      <c r="C176" s="3" t="s">
        <v>10</v>
      </c>
      <c r="D176" s="3" t="s">
        <v>11</v>
      </c>
      <c r="E176" s="2">
        <v>193.03</v>
      </c>
      <c r="F176">
        <v>221</v>
      </c>
      <c r="G176">
        <v>4</v>
      </c>
      <c r="H176" s="2">
        <v>332.92</v>
      </c>
      <c r="I176" s="3" t="str">
        <f t="shared" si="10"/>
        <v>Search - Generic</v>
      </c>
      <c r="J176" s="3" t="str">
        <f t="shared" si="11"/>
        <v>Google Ads</v>
      </c>
      <c r="K176" t="str">
        <f t="shared" si="12"/>
        <v>03-06-2026</v>
      </c>
      <c r="L176">
        <f t="shared" si="13"/>
        <v>1.7247060042480444</v>
      </c>
      <c r="M176">
        <f t="shared" si="14"/>
        <v>48.2575</v>
      </c>
    </row>
    <row r="177" spans="1:13">
      <c r="A177">
        <v>5175</v>
      </c>
      <c r="B177" s="1">
        <v>46136</v>
      </c>
      <c r="C177" s="3" t="s">
        <v>8</v>
      </c>
      <c r="D177" s="3" t="s">
        <v>9</v>
      </c>
      <c r="E177" s="2">
        <v>41.88</v>
      </c>
      <c r="F177">
        <v>489</v>
      </c>
      <c r="G177">
        <v>43</v>
      </c>
      <c r="H177" s="2">
        <v>3172.54</v>
      </c>
      <c r="I177" s="3" t="str">
        <f t="shared" si="10"/>
        <v>Welcome Series</v>
      </c>
      <c r="J177" s="3" t="str">
        <f t="shared" si="11"/>
        <v>Email</v>
      </c>
      <c r="K177" t="str">
        <f t="shared" si="12"/>
        <v>24-04-2026</v>
      </c>
      <c r="L177">
        <f t="shared" si="13"/>
        <v>75.753104106972302</v>
      </c>
      <c r="M177">
        <f t="shared" si="14"/>
        <v>0.97395348837209306</v>
      </c>
    </row>
    <row r="178" spans="1:13">
      <c r="A178">
        <v>5176</v>
      </c>
      <c r="B178" s="1">
        <v>46148</v>
      </c>
      <c r="C178" s="3" t="s">
        <v>10</v>
      </c>
      <c r="D178" s="3" t="s">
        <v>11</v>
      </c>
      <c r="E178" s="2">
        <v>192.46</v>
      </c>
      <c r="F178">
        <v>103</v>
      </c>
      <c r="G178">
        <v>4</v>
      </c>
      <c r="H178" s="2">
        <v>263.2</v>
      </c>
      <c r="I178" s="3" t="str">
        <f t="shared" si="10"/>
        <v>Search - Generic</v>
      </c>
      <c r="J178" s="3" t="str">
        <f t="shared" si="11"/>
        <v>Google Ads</v>
      </c>
      <c r="K178" t="str">
        <f t="shared" si="12"/>
        <v>06-05-2026</v>
      </c>
      <c r="L178">
        <f t="shared" si="13"/>
        <v>1.3675568949392081</v>
      </c>
      <c r="M178">
        <f t="shared" si="14"/>
        <v>48.115000000000002</v>
      </c>
    </row>
    <row r="179" spans="1:13">
      <c r="A179">
        <v>5177</v>
      </c>
      <c r="B179" s="1">
        <v>46030</v>
      </c>
      <c r="C179" s="3" t="s">
        <v>10</v>
      </c>
      <c r="D179" s="3" t="s">
        <v>11</v>
      </c>
      <c r="E179" s="2">
        <v>326.29000000000002</v>
      </c>
      <c r="F179">
        <v>708</v>
      </c>
      <c r="G179">
        <v>18</v>
      </c>
      <c r="H179" s="2">
        <v>1368</v>
      </c>
      <c r="I179" s="3" t="str">
        <f t="shared" si="10"/>
        <v>Search - Generic</v>
      </c>
      <c r="J179" s="3" t="str">
        <f t="shared" si="11"/>
        <v>Google Ads</v>
      </c>
      <c r="K179" t="str">
        <f t="shared" si="12"/>
        <v>08-01-2026</v>
      </c>
      <c r="L179">
        <f t="shared" si="13"/>
        <v>4.1925894143246802</v>
      </c>
      <c r="M179">
        <f t="shared" si="14"/>
        <v>18.127222222222223</v>
      </c>
    </row>
    <row r="180" spans="1:13">
      <c r="A180">
        <v>5178</v>
      </c>
      <c r="B180" s="1">
        <v>46104</v>
      </c>
      <c r="C180" s="3" t="s">
        <v>10</v>
      </c>
      <c r="D180" s="3" t="s">
        <v>11</v>
      </c>
      <c r="E180" s="2">
        <v>419.07</v>
      </c>
      <c r="F180">
        <v>255</v>
      </c>
      <c r="G180">
        <v>5</v>
      </c>
      <c r="H180" s="2">
        <v>159.85</v>
      </c>
      <c r="I180" s="3" t="str">
        <f t="shared" si="10"/>
        <v>Search - Generic</v>
      </c>
      <c r="J180" s="3" t="str">
        <f t="shared" si="11"/>
        <v>Google Ads</v>
      </c>
      <c r="K180" t="str">
        <f t="shared" si="12"/>
        <v>23-03-2026</v>
      </c>
      <c r="L180">
        <f t="shared" si="13"/>
        <v>0.38143985491683968</v>
      </c>
      <c r="M180">
        <f t="shared" si="14"/>
        <v>83.813999999999993</v>
      </c>
    </row>
    <row r="181" spans="1:13">
      <c r="A181">
        <v>5179</v>
      </c>
      <c r="B181" s="1">
        <v>46078</v>
      </c>
      <c r="C181" s="3" t="s">
        <v>10</v>
      </c>
      <c r="D181" s="3" t="s">
        <v>12</v>
      </c>
      <c r="E181" s="2">
        <v>309.26</v>
      </c>
      <c r="F181">
        <v>651</v>
      </c>
      <c r="G181">
        <v>15</v>
      </c>
      <c r="H181" s="2">
        <v>1045.8</v>
      </c>
      <c r="I181" s="3" t="str">
        <f t="shared" si="10"/>
        <v>Display</v>
      </c>
      <c r="J181" s="3" t="str">
        <f t="shared" si="11"/>
        <v>Google Ads</v>
      </c>
      <c r="K181" t="str">
        <f t="shared" si="12"/>
        <v>25-02-2026</v>
      </c>
      <c r="L181">
        <f t="shared" si="13"/>
        <v>3.3816206428248075</v>
      </c>
      <c r="M181">
        <f t="shared" si="14"/>
        <v>20.617333333333331</v>
      </c>
    </row>
    <row r="182" spans="1:13">
      <c r="A182">
        <v>5180</v>
      </c>
      <c r="B182" s="1">
        <v>46135</v>
      </c>
      <c r="C182" s="3" t="s">
        <v>25</v>
      </c>
      <c r="D182" s="3" t="s">
        <v>23</v>
      </c>
      <c r="E182" s="2">
        <v>423.6</v>
      </c>
      <c r="F182">
        <v>533</v>
      </c>
      <c r="G182">
        <v>9</v>
      </c>
      <c r="H182" s="2">
        <v>390.69</v>
      </c>
      <c r="I182" s="3" t="str">
        <f t="shared" si="10"/>
        <v>Retargeting</v>
      </c>
      <c r="J182" s="3" t="str">
        <f t="shared" si="11"/>
        <v>Meta Ads</v>
      </c>
      <c r="K182" t="str">
        <f t="shared" si="12"/>
        <v>23-04-2026</v>
      </c>
      <c r="L182">
        <f t="shared" si="13"/>
        <v>0.92230878186968834</v>
      </c>
      <c r="M182">
        <f t="shared" si="14"/>
        <v>47.06666666666667</v>
      </c>
    </row>
    <row r="183" spans="1:13">
      <c r="A183">
        <v>5181</v>
      </c>
      <c r="B183" s="1">
        <v>46193</v>
      </c>
      <c r="C183" s="3" t="s">
        <v>16</v>
      </c>
      <c r="D183" s="3" t="s">
        <v>13</v>
      </c>
      <c r="E183" s="2">
        <v>406</v>
      </c>
      <c r="F183">
        <v>701</v>
      </c>
      <c r="G183">
        <v>35</v>
      </c>
      <c r="H183" s="2">
        <v>1319.5</v>
      </c>
      <c r="I183" s="3" t="str">
        <f t="shared" si="10"/>
        <v>Abandoned Cart</v>
      </c>
      <c r="J183" s="3" t="str">
        <f t="shared" si="11"/>
        <v>Email</v>
      </c>
      <c r="K183" t="str">
        <f t="shared" si="12"/>
        <v>20-06-2026</v>
      </c>
      <c r="L183">
        <f t="shared" si="13"/>
        <v>3.25</v>
      </c>
      <c r="M183">
        <f t="shared" si="14"/>
        <v>11.6</v>
      </c>
    </row>
    <row r="184" spans="1:13">
      <c r="A184">
        <v>5182</v>
      </c>
      <c r="B184" s="1">
        <v>46062</v>
      </c>
      <c r="C184" s="3" t="s">
        <v>16</v>
      </c>
      <c r="D184" s="3" t="s">
        <v>17</v>
      </c>
      <c r="E184" s="2">
        <v>344.69</v>
      </c>
      <c r="F184">
        <v>633</v>
      </c>
      <c r="G184">
        <v>43</v>
      </c>
      <c r="H184" s="2">
        <v>2654.39</v>
      </c>
      <c r="I184" s="3" t="str">
        <f t="shared" si="10"/>
        <v>Newsletter</v>
      </c>
      <c r="J184" s="3" t="str">
        <f t="shared" si="11"/>
        <v>Email</v>
      </c>
      <c r="K184" t="str">
        <f t="shared" si="12"/>
        <v>09-02-2026</v>
      </c>
      <c r="L184">
        <f t="shared" si="13"/>
        <v>7.7008036206446366</v>
      </c>
      <c r="M184">
        <f t="shared" si="14"/>
        <v>8.0160465116279074</v>
      </c>
    </row>
    <row r="185" spans="1:13">
      <c r="A185">
        <v>5183</v>
      </c>
      <c r="B185" s="1">
        <v>46158</v>
      </c>
      <c r="C185" s="3" t="s">
        <v>14</v>
      </c>
      <c r="D185" s="3" t="s">
        <v>23</v>
      </c>
      <c r="E185" s="2">
        <v>60.9</v>
      </c>
      <c r="F185">
        <v>686</v>
      </c>
      <c r="G185">
        <v>14</v>
      </c>
      <c r="H185" s="2">
        <v>854.98</v>
      </c>
      <c r="I185" s="3" t="str">
        <f t="shared" si="10"/>
        <v>Retargeting</v>
      </c>
      <c r="J185" s="3" t="str">
        <f t="shared" si="11"/>
        <v>Meta Ads</v>
      </c>
      <c r="K185" t="str">
        <f t="shared" si="12"/>
        <v>16-05-2026</v>
      </c>
      <c r="L185">
        <f t="shared" si="13"/>
        <v>14.039080459770116</v>
      </c>
      <c r="M185">
        <f t="shared" si="14"/>
        <v>4.3499999999999996</v>
      </c>
    </row>
    <row r="186" spans="1:13">
      <c r="A186">
        <v>5184</v>
      </c>
      <c r="B186" s="1">
        <v>46081</v>
      </c>
      <c r="C186" s="3" t="s">
        <v>14</v>
      </c>
      <c r="D186" s="3" t="s">
        <v>15</v>
      </c>
      <c r="E186" s="2">
        <v>331.84</v>
      </c>
      <c r="F186">
        <v>202</v>
      </c>
      <c r="G186">
        <v>4</v>
      </c>
      <c r="H186" s="2">
        <v>165.4</v>
      </c>
      <c r="I186" s="3" t="str">
        <f t="shared" si="10"/>
        <v>Summer Sale</v>
      </c>
      <c r="J186" s="3" t="str">
        <f t="shared" si="11"/>
        <v>Meta Ads</v>
      </c>
      <c r="K186" t="str">
        <f t="shared" si="12"/>
        <v>28-02-2026</v>
      </c>
      <c r="L186">
        <f t="shared" si="13"/>
        <v>0.49843297974927681</v>
      </c>
      <c r="M186">
        <f t="shared" si="14"/>
        <v>82.96</v>
      </c>
    </row>
    <row r="187" spans="1:13">
      <c r="A187">
        <v>5185</v>
      </c>
      <c r="B187" s="1">
        <v>46154</v>
      </c>
      <c r="C187" s="3" t="s">
        <v>10</v>
      </c>
      <c r="D187" s="3" t="s">
        <v>20</v>
      </c>
      <c r="E187" s="2">
        <v>261.5</v>
      </c>
      <c r="F187">
        <v>529</v>
      </c>
      <c r="G187">
        <v>25</v>
      </c>
      <c r="H187" s="2">
        <v>1855</v>
      </c>
      <c r="I187" s="3" t="str">
        <f t="shared" si="10"/>
        <v>Search - Brand</v>
      </c>
      <c r="J187" s="3" t="str">
        <f t="shared" si="11"/>
        <v>Google Ads</v>
      </c>
      <c r="K187" t="str">
        <f t="shared" si="12"/>
        <v>12-05-2026</v>
      </c>
      <c r="L187">
        <f t="shared" si="13"/>
        <v>7.0936902485659656</v>
      </c>
      <c r="M187">
        <f t="shared" si="14"/>
        <v>10.46</v>
      </c>
    </row>
    <row r="188" spans="1:13">
      <c r="A188">
        <v>5186</v>
      </c>
      <c r="B188" s="1">
        <v>46123</v>
      </c>
      <c r="C188" s="3" t="s">
        <v>14</v>
      </c>
      <c r="D188" s="3" t="s">
        <v>22</v>
      </c>
      <c r="E188" s="2">
        <v>226.86</v>
      </c>
      <c r="F188">
        <v>68</v>
      </c>
      <c r="G188">
        <v>1</v>
      </c>
      <c r="H188" s="2">
        <v>28.07</v>
      </c>
      <c r="I188" s="3" t="str">
        <f t="shared" si="10"/>
        <v>Brand Awareness</v>
      </c>
      <c r="J188" s="3" t="str">
        <f t="shared" si="11"/>
        <v>Meta Ads</v>
      </c>
      <c r="K188" t="str">
        <f t="shared" si="12"/>
        <v>11-04-2026</v>
      </c>
      <c r="L188">
        <f t="shared" si="13"/>
        <v>0.1237326985806224</v>
      </c>
      <c r="M188">
        <f t="shared" si="14"/>
        <v>226.86</v>
      </c>
    </row>
    <row r="189" spans="1:13">
      <c r="A189">
        <v>5187</v>
      </c>
      <c r="B189" s="1">
        <v>46057</v>
      </c>
      <c r="C189" s="3" t="s">
        <v>14</v>
      </c>
      <c r="D189" s="3" t="s">
        <v>23</v>
      </c>
      <c r="E189" s="2">
        <v>437.97</v>
      </c>
      <c r="F189">
        <v>182</v>
      </c>
      <c r="G189">
        <v>7</v>
      </c>
      <c r="H189" s="2">
        <v>239.1</v>
      </c>
      <c r="I189" s="3" t="str">
        <f t="shared" si="10"/>
        <v>Retargeting</v>
      </c>
      <c r="J189" s="3" t="str">
        <f t="shared" si="11"/>
        <v>Meta Ads</v>
      </c>
      <c r="K189" t="str">
        <f t="shared" si="12"/>
        <v>04-02-2026</v>
      </c>
      <c r="L189">
        <f t="shared" si="13"/>
        <v>0.54592780327419677</v>
      </c>
      <c r="M189">
        <f t="shared" si="14"/>
        <v>62.567142857142862</v>
      </c>
    </row>
    <row r="190" spans="1:13">
      <c r="A190">
        <v>5188</v>
      </c>
      <c r="B190" s="1">
        <v>46154</v>
      </c>
      <c r="C190" s="3" t="s">
        <v>8</v>
      </c>
      <c r="D190" s="3" t="s">
        <v>24</v>
      </c>
      <c r="E190" s="2">
        <v>309.82</v>
      </c>
      <c r="F190">
        <v>112</v>
      </c>
      <c r="G190">
        <v>5</v>
      </c>
      <c r="H190" s="2">
        <v>231.4</v>
      </c>
      <c r="I190" s="3" t="str">
        <f t="shared" si="10"/>
        <v>Promo Blast</v>
      </c>
      <c r="J190" s="3" t="str">
        <f t="shared" si="11"/>
        <v>Email</v>
      </c>
      <c r="K190" t="str">
        <f t="shared" si="12"/>
        <v>12-05-2026</v>
      </c>
      <c r="L190">
        <f t="shared" si="13"/>
        <v>0.74688528823187661</v>
      </c>
      <c r="M190">
        <f t="shared" si="14"/>
        <v>61.963999999999999</v>
      </c>
    </row>
    <row r="191" spans="1:13">
      <c r="A191">
        <v>5189</v>
      </c>
      <c r="B191" s="1">
        <v>46200</v>
      </c>
      <c r="C191" s="3" t="s">
        <v>25</v>
      </c>
      <c r="D191" s="3" t="s">
        <v>22</v>
      </c>
      <c r="E191" s="2">
        <v>73</v>
      </c>
      <c r="F191">
        <v>274</v>
      </c>
      <c r="G191">
        <v>3</v>
      </c>
      <c r="H191" s="2">
        <v>183.09</v>
      </c>
      <c r="I191" s="3" t="str">
        <f t="shared" si="10"/>
        <v>Brand Awareness</v>
      </c>
      <c r="J191" s="3" t="str">
        <f t="shared" si="11"/>
        <v>Meta Ads</v>
      </c>
      <c r="K191" t="str">
        <f t="shared" si="12"/>
        <v>27-06-2026</v>
      </c>
      <c r="L191">
        <f t="shared" si="13"/>
        <v>2.5080821917808218</v>
      </c>
      <c r="M191">
        <f t="shared" si="14"/>
        <v>24.333333333333332</v>
      </c>
    </row>
    <row r="192" spans="1:13">
      <c r="A192">
        <v>5190</v>
      </c>
      <c r="B192" s="1">
        <v>46160</v>
      </c>
      <c r="C192" s="3" t="s">
        <v>10</v>
      </c>
      <c r="D192" s="3" t="s">
        <v>20</v>
      </c>
      <c r="E192" s="2">
        <v>497.35</v>
      </c>
      <c r="F192">
        <v>508</v>
      </c>
      <c r="G192">
        <v>20</v>
      </c>
      <c r="H192" s="2">
        <v>1635</v>
      </c>
      <c r="I192" s="3" t="str">
        <f t="shared" si="10"/>
        <v>Search - Brand</v>
      </c>
      <c r="J192" s="3" t="str">
        <f t="shared" si="11"/>
        <v>Google Ads</v>
      </c>
      <c r="K192" t="str">
        <f t="shared" si="12"/>
        <v>18-05-2026</v>
      </c>
      <c r="L192">
        <f t="shared" si="13"/>
        <v>3.2874233437217248</v>
      </c>
      <c r="M192">
        <f t="shared" si="14"/>
        <v>24.8675</v>
      </c>
    </row>
    <row r="193" spans="1:13">
      <c r="A193">
        <v>5191</v>
      </c>
      <c r="B193" s="1">
        <v>46123</v>
      </c>
      <c r="C193" s="3" t="s">
        <v>14</v>
      </c>
      <c r="D193" s="3" t="s">
        <v>22</v>
      </c>
      <c r="E193" s="2">
        <v>313.20999999999998</v>
      </c>
      <c r="F193">
        <v>87</v>
      </c>
      <c r="G193">
        <v>1</v>
      </c>
      <c r="H193" s="2">
        <v>59.34</v>
      </c>
      <c r="I193" s="3" t="str">
        <f t="shared" si="10"/>
        <v>Brand Awareness</v>
      </c>
      <c r="J193" s="3" t="str">
        <f t="shared" si="11"/>
        <v>Meta Ads</v>
      </c>
      <c r="K193" t="str">
        <f t="shared" si="12"/>
        <v>11-04-2026</v>
      </c>
      <c r="L193">
        <f t="shared" si="13"/>
        <v>0.18945755244085441</v>
      </c>
      <c r="M193">
        <f t="shared" si="14"/>
        <v>313.20999999999998</v>
      </c>
    </row>
    <row r="194" spans="1:13">
      <c r="A194">
        <v>5192</v>
      </c>
      <c r="B194" s="1">
        <v>46142</v>
      </c>
      <c r="C194" s="3" t="s">
        <v>8</v>
      </c>
      <c r="D194" s="3" t="s">
        <v>24</v>
      </c>
      <c r="E194" s="2">
        <v>22.87</v>
      </c>
      <c r="F194">
        <v>603</v>
      </c>
      <c r="G194">
        <v>35</v>
      </c>
      <c r="H194" s="2">
        <v>1390.55</v>
      </c>
      <c r="I194" s="3" t="str">
        <f t="shared" ref="I194:I257" si="15">TRIM(D194)</f>
        <v>Promo Blast</v>
      </c>
      <c r="J194" s="3" t="str">
        <f t="shared" ref="J194:J257" si="16">TRIM(PROPER(C194))</f>
        <v>Email</v>
      </c>
      <c r="K194" t="str">
        <f t="shared" si="12"/>
        <v>30-04-2026</v>
      </c>
      <c r="L194">
        <f t="shared" si="13"/>
        <v>60.802361171840836</v>
      </c>
      <c r="M194">
        <f t="shared" si="14"/>
        <v>0.65342857142857147</v>
      </c>
    </row>
    <row r="195" spans="1:13">
      <c r="A195">
        <v>5193</v>
      </c>
      <c r="B195" s="1">
        <v>46175</v>
      </c>
      <c r="C195" s="3" t="s">
        <v>10</v>
      </c>
      <c r="D195" s="3" t="s">
        <v>18</v>
      </c>
      <c r="E195" s="2">
        <v>495.85</v>
      </c>
      <c r="F195">
        <v>375</v>
      </c>
      <c r="G195">
        <v>18</v>
      </c>
      <c r="H195" s="2">
        <v>949.28</v>
      </c>
      <c r="I195" s="3" t="str">
        <f t="shared" si="15"/>
        <v>Shopping</v>
      </c>
      <c r="J195" s="3" t="str">
        <f t="shared" si="16"/>
        <v>Google Ads</v>
      </c>
      <c r="K195" t="str">
        <f t="shared" ref="K195:K258" si="17">TEXT(B195,"dd-mm-yyyy")</f>
        <v>02-06-2026</v>
      </c>
      <c r="L195">
        <f t="shared" ref="L195:L258" si="18">IF(E195=0,0,H195/E195)</f>
        <v>1.9144499344559844</v>
      </c>
      <c r="M195">
        <f t="shared" ref="M195:M258" si="19">IF(G195=0,0,E195/G195)</f>
        <v>27.547222222222224</v>
      </c>
    </row>
    <row r="196" spans="1:13">
      <c r="A196">
        <v>5194</v>
      </c>
      <c r="B196" s="1">
        <v>46074</v>
      </c>
      <c r="C196" s="3" t="s">
        <v>8</v>
      </c>
      <c r="D196" s="3" t="s">
        <v>17</v>
      </c>
      <c r="E196" s="2">
        <v>401.75</v>
      </c>
      <c r="F196">
        <v>154</v>
      </c>
      <c r="G196">
        <v>10</v>
      </c>
      <c r="H196" s="2">
        <v>447.6</v>
      </c>
      <c r="I196" s="3" t="str">
        <f t="shared" si="15"/>
        <v>Newsletter</v>
      </c>
      <c r="J196" s="3" t="str">
        <f t="shared" si="16"/>
        <v>Email</v>
      </c>
      <c r="K196" t="str">
        <f t="shared" si="17"/>
        <v>21-02-2026</v>
      </c>
      <c r="L196">
        <f t="shared" si="18"/>
        <v>1.1141257000622278</v>
      </c>
      <c r="M196">
        <f t="shared" si="19"/>
        <v>40.174999999999997</v>
      </c>
    </row>
    <row r="197" spans="1:13">
      <c r="A197">
        <v>5195</v>
      </c>
      <c r="B197" s="1">
        <v>46163</v>
      </c>
      <c r="C197" s="3" t="s">
        <v>10</v>
      </c>
      <c r="D197" s="3" t="s">
        <v>20</v>
      </c>
      <c r="E197" s="2">
        <v>444.16</v>
      </c>
      <c r="F197">
        <v>503</v>
      </c>
      <c r="G197">
        <v>20</v>
      </c>
      <c r="H197" s="2">
        <v>1662.4</v>
      </c>
      <c r="I197" s="3" t="str">
        <f t="shared" si="15"/>
        <v>Search - Brand</v>
      </c>
      <c r="J197" s="3" t="str">
        <f t="shared" si="16"/>
        <v>Google Ads</v>
      </c>
      <c r="K197" t="str">
        <f t="shared" si="17"/>
        <v>21-05-2026</v>
      </c>
      <c r="L197">
        <f t="shared" si="18"/>
        <v>3.7427953890489913</v>
      </c>
      <c r="M197">
        <f t="shared" si="19"/>
        <v>22.208000000000002</v>
      </c>
    </row>
    <row r="198" spans="1:13">
      <c r="A198">
        <v>5196</v>
      </c>
      <c r="B198" s="1">
        <v>46194</v>
      </c>
      <c r="C198" s="3" t="s">
        <v>10</v>
      </c>
      <c r="D198" s="3" t="s">
        <v>12</v>
      </c>
      <c r="E198" s="2">
        <v>466.15</v>
      </c>
      <c r="F198">
        <v>610</v>
      </c>
      <c r="G198">
        <v>13</v>
      </c>
      <c r="H198" s="2">
        <v>579.79999999999995</v>
      </c>
      <c r="I198" s="3" t="str">
        <f t="shared" si="15"/>
        <v>Display</v>
      </c>
      <c r="J198" s="3" t="str">
        <f t="shared" si="16"/>
        <v>Google Ads</v>
      </c>
      <c r="K198" t="str">
        <f t="shared" si="17"/>
        <v>21-06-2026</v>
      </c>
      <c r="L198">
        <f t="shared" si="18"/>
        <v>1.2438056419607422</v>
      </c>
      <c r="M198">
        <f t="shared" si="19"/>
        <v>35.857692307692304</v>
      </c>
    </row>
    <row r="199" spans="1:13">
      <c r="A199">
        <v>5197</v>
      </c>
      <c r="B199" s="1">
        <v>46071</v>
      </c>
      <c r="C199" s="3" t="s">
        <v>8</v>
      </c>
      <c r="D199" s="3" t="s">
        <v>13</v>
      </c>
      <c r="E199" s="2">
        <v>244.58</v>
      </c>
      <c r="F199">
        <v>716</v>
      </c>
      <c r="G199">
        <v>39</v>
      </c>
      <c r="H199" s="2">
        <v>3176.16</v>
      </c>
      <c r="I199" s="3" t="str">
        <f t="shared" si="15"/>
        <v>Abandoned Cart</v>
      </c>
      <c r="J199" s="3" t="str">
        <f t="shared" si="16"/>
        <v>Email</v>
      </c>
      <c r="K199" t="str">
        <f t="shared" si="17"/>
        <v>18-02-2026</v>
      </c>
      <c r="L199">
        <f t="shared" si="18"/>
        <v>12.98618039087415</v>
      </c>
      <c r="M199">
        <f t="shared" si="19"/>
        <v>6.2712820512820517</v>
      </c>
    </row>
    <row r="200" spans="1:13">
      <c r="A200">
        <v>5198</v>
      </c>
      <c r="B200" s="1">
        <v>46028</v>
      </c>
      <c r="C200" s="3" t="s">
        <v>16</v>
      </c>
      <c r="D200" s="3" t="s">
        <v>9</v>
      </c>
      <c r="E200" s="2">
        <v>42.89</v>
      </c>
      <c r="F200">
        <v>468</v>
      </c>
      <c r="G200">
        <v>19</v>
      </c>
      <c r="H200" s="2">
        <v>1219.6099999999999</v>
      </c>
      <c r="I200" s="3" t="str">
        <f t="shared" si="15"/>
        <v>Welcome Series</v>
      </c>
      <c r="J200" s="3" t="str">
        <f t="shared" si="16"/>
        <v>Email</v>
      </c>
      <c r="K200" t="str">
        <f t="shared" si="17"/>
        <v>06-01-2026</v>
      </c>
      <c r="L200">
        <f t="shared" si="18"/>
        <v>28.435765912800182</v>
      </c>
      <c r="M200">
        <f t="shared" si="19"/>
        <v>2.2573684210526315</v>
      </c>
    </row>
    <row r="201" spans="1:13">
      <c r="A201">
        <v>5199</v>
      </c>
      <c r="B201" s="1">
        <v>46176</v>
      </c>
      <c r="C201" s="3" t="s">
        <v>14</v>
      </c>
      <c r="D201" s="3" t="s">
        <v>15</v>
      </c>
      <c r="E201" s="2">
        <v>183.76</v>
      </c>
      <c r="F201">
        <v>447</v>
      </c>
      <c r="G201">
        <v>1</v>
      </c>
      <c r="H201" s="2">
        <v>577.65</v>
      </c>
      <c r="I201" s="3" t="str">
        <f t="shared" si="15"/>
        <v>Summer Sale</v>
      </c>
      <c r="J201" s="3" t="str">
        <f t="shared" si="16"/>
        <v>Meta Ads</v>
      </c>
      <c r="K201" t="str">
        <f t="shared" si="17"/>
        <v>03-06-2026</v>
      </c>
      <c r="L201">
        <f t="shared" si="18"/>
        <v>3.143502394427514</v>
      </c>
      <c r="M201">
        <f t="shared" si="19"/>
        <v>183.76</v>
      </c>
    </row>
    <row r="202" spans="1:13">
      <c r="A202">
        <v>5200</v>
      </c>
      <c r="B202" s="1">
        <v>46029</v>
      </c>
      <c r="C202" s="3" t="s">
        <v>10</v>
      </c>
      <c r="D202" s="3" t="s">
        <v>18</v>
      </c>
      <c r="E202" s="2">
        <v>402.21</v>
      </c>
      <c r="F202">
        <v>99</v>
      </c>
      <c r="G202">
        <v>4</v>
      </c>
      <c r="H202" s="2">
        <v>186.96</v>
      </c>
      <c r="I202" s="3" t="str">
        <f t="shared" si="15"/>
        <v>Shopping</v>
      </c>
      <c r="J202" s="3" t="str">
        <f t="shared" si="16"/>
        <v>Google Ads</v>
      </c>
      <c r="K202" t="str">
        <f t="shared" si="17"/>
        <v>07-01-2026</v>
      </c>
      <c r="L202">
        <f t="shared" si="18"/>
        <v>0.46483180428134563</v>
      </c>
      <c r="M202">
        <f t="shared" si="19"/>
        <v>100.55249999999999</v>
      </c>
    </row>
    <row r="203" spans="1:13">
      <c r="A203">
        <v>5201</v>
      </c>
      <c r="B203" s="1">
        <v>46104</v>
      </c>
      <c r="C203" s="3" t="s">
        <v>14</v>
      </c>
      <c r="D203" s="3" t="s">
        <v>22</v>
      </c>
      <c r="E203" s="2">
        <v>178</v>
      </c>
      <c r="F203">
        <v>105</v>
      </c>
      <c r="G203">
        <v>1</v>
      </c>
      <c r="H203" s="2">
        <v>38.68</v>
      </c>
      <c r="I203" s="3" t="str">
        <f t="shared" si="15"/>
        <v>Brand Awareness</v>
      </c>
      <c r="J203" s="3" t="str">
        <f t="shared" si="16"/>
        <v>Meta Ads</v>
      </c>
      <c r="K203" t="str">
        <f t="shared" si="17"/>
        <v>23-03-2026</v>
      </c>
      <c r="L203">
        <f t="shared" si="18"/>
        <v>0.21730337078651685</v>
      </c>
      <c r="M203">
        <f t="shared" si="19"/>
        <v>178</v>
      </c>
    </row>
    <row r="204" spans="1:13">
      <c r="A204">
        <v>5202</v>
      </c>
      <c r="B204" s="1">
        <v>46197</v>
      </c>
      <c r="C204" s="3" t="s">
        <v>8</v>
      </c>
      <c r="D204" s="3" t="s">
        <v>9</v>
      </c>
      <c r="E204" s="2">
        <v>410.46</v>
      </c>
      <c r="F204">
        <v>499</v>
      </c>
      <c r="G204">
        <v>37</v>
      </c>
      <c r="H204" s="2">
        <v>2791.28</v>
      </c>
      <c r="I204" s="3" t="str">
        <f t="shared" si="15"/>
        <v>Welcome Series</v>
      </c>
      <c r="J204" s="3" t="str">
        <f t="shared" si="16"/>
        <v>Email</v>
      </c>
      <c r="K204" t="str">
        <f t="shared" si="17"/>
        <v>24-06-2026</v>
      </c>
      <c r="L204">
        <f t="shared" si="18"/>
        <v>6.8003703162305715</v>
      </c>
      <c r="M204">
        <f t="shared" si="19"/>
        <v>11.093513513513512</v>
      </c>
    </row>
    <row r="205" spans="1:13">
      <c r="A205">
        <v>5203</v>
      </c>
      <c r="B205" s="1">
        <v>46156</v>
      </c>
      <c r="C205" s="3" t="s">
        <v>14</v>
      </c>
      <c r="D205" s="3" t="s">
        <v>19</v>
      </c>
      <c r="E205" s="2">
        <v>248.37</v>
      </c>
      <c r="F205">
        <v>681</v>
      </c>
      <c r="G205">
        <v>17</v>
      </c>
      <c r="H205" s="2">
        <v>1504.5</v>
      </c>
      <c r="I205" s="3" t="str">
        <f t="shared" si="15"/>
        <v>New Arrivals</v>
      </c>
      <c r="J205" s="3" t="str">
        <f t="shared" si="16"/>
        <v>Meta Ads</v>
      </c>
      <c r="K205" t="str">
        <f t="shared" si="17"/>
        <v>14-05-2026</v>
      </c>
      <c r="L205">
        <f t="shared" si="18"/>
        <v>6.0574948665297743</v>
      </c>
      <c r="M205">
        <f t="shared" si="19"/>
        <v>14.61</v>
      </c>
    </row>
    <row r="206" spans="1:13">
      <c r="A206">
        <v>5204</v>
      </c>
      <c r="B206" s="1">
        <v>46182</v>
      </c>
      <c r="C206" s="3" t="s">
        <v>14</v>
      </c>
      <c r="D206" s="3" t="s">
        <v>15</v>
      </c>
      <c r="E206" s="2">
        <v>393.14</v>
      </c>
      <c r="F206">
        <v>275</v>
      </c>
      <c r="G206">
        <v>7</v>
      </c>
      <c r="H206" s="2">
        <v>341.32</v>
      </c>
      <c r="I206" s="3" t="str">
        <f t="shared" si="15"/>
        <v>Summer Sale</v>
      </c>
      <c r="J206" s="3" t="str">
        <f t="shared" si="16"/>
        <v>Meta Ads</v>
      </c>
      <c r="K206" t="str">
        <f t="shared" si="17"/>
        <v>09-06-2026</v>
      </c>
      <c r="L206">
        <f t="shared" si="18"/>
        <v>0.86818944905122863</v>
      </c>
      <c r="M206">
        <f t="shared" si="19"/>
        <v>56.162857142857142</v>
      </c>
    </row>
    <row r="207" spans="1:13">
      <c r="A207">
        <v>5205</v>
      </c>
      <c r="B207" s="1">
        <v>46030</v>
      </c>
      <c r="C207" s="3" t="s">
        <v>8</v>
      </c>
      <c r="D207" s="3" t="s">
        <v>13</v>
      </c>
      <c r="E207" s="2">
        <v>122.3</v>
      </c>
      <c r="F207">
        <v>362</v>
      </c>
      <c r="G207">
        <v>25</v>
      </c>
      <c r="H207" s="2">
        <v>1508.7</v>
      </c>
      <c r="I207" s="3" t="str">
        <f t="shared" si="15"/>
        <v>Abandoned Cart</v>
      </c>
      <c r="J207" s="3" t="str">
        <f t="shared" si="16"/>
        <v>Email</v>
      </c>
      <c r="K207" t="str">
        <f t="shared" si="17"/>
        <v>08-01-2026</v>
      </c>
      <c r="L207">
        <f t="shared" si="18"/>
        <v>12.336058871627147</v>
      </c>
      <c r="M207">
        <f t="shared" si="19"/>
        <v>4.8919999999999995</v>
      </c>
    </row>
    <row r="208" spans="1:13">
      <c r="A208">
        <v>5206</v>
      </c>
      <c r="B208" s="1">
        <v>46188</v>
      </c>
      <c r="C208" s="3" t="s">
        <v>8</v>
      </c>
      <c r="D208" s="3" t="s">
        <v>9</v>
      </c>
      <c r="E208" s="2">
        <v>290.82</v>
      </c>
      <c r="F208">
        <v>429</v>
      </c>
      <c r="G208">
        <v>23</v>
      </c>
      <c r="H208" s="2">
        <v>1428.44</v>
      </c>
      <c r="I208" s="3" t="str">
        <f t="shared" si="15"/>
        <v>Welcome Series</v>
      </c>
      <c r="J208" s="3" t="str">
        <f t="shared" si="16"/>
        <v>Email</v>
      </c>
      <c r="K208" t="str">
        <f t="shared" si="17"/>
        <v>15-06-2026</v>
      </c>
      <c r="L208">
        <f t="shared" si="18"/>
        <v>4.9117667285606217</v>
      </c>
      <c r="M208">
        <f t="shared" si="19"/>
        <v>12.644347826086957</v>
      </c>
    </row>
    <row r="209" spans="1:13">
      <c r="A209">
        <v>5207</v>
      </c>
      <c r="B209" s="1">
        <v>46084</v>
      </c>
      <c r="C209" s="3" t="s">
        <v>10</v>
      </c>
      <c r="D209" s="3" t="s">
        <v>11</v>
      </c>
      <c r="E209" s="2">
        <v>153.77000000000001</v>
      </c>
      <c r="F209">
        <v>520</v>
      </c>
      <c r="G209">
        <v>14</v>
      </c>
      <c r="H209" s="2">
        <v>868.28</v>
      </c>
      <c r="I209" s="3" t="str">
        <f t="shared" si="15"/>
        <v>Search - Generic</v>
      </c>
      <c r="J209" s="3" t="str">
        <f t="shared" si="16"/>
        <v>Google Ads</v>
      </c>
      <c r="K209" t="str">
        <f t="shared" si="17"/>
        <v>03-03-2026</v>
      </c>
      <c r="L209">
        <f t="shared" si="18"/>
        <v>5.6466150744618577</v>
      </c>
      <c r="M209">
        <f t="shared" si="19"/>
        <v>10.983571428571429</v>
      </c>
    </row>
    <row r="210" spans="1:13">
      <c r="A210">
        <v>5208</v>
      </c>
      <c r="B210" s="1">
        <v>46099</v>
      </c>
      <c r="C210" s="3" t="s">
        <v>14</v>
      </c>
      <c r="D210" s="3" t="s">
        <v>19</v>
      </c>
      <c r="E210" s="2">
        <v>438.61</v>
      </c>
      <c r="F210">
        <v>265</v>
      </c>
      <c r="G210">
        <v>3</v>
      </c>
      <c r="H210" s="2">
        <v>208.14</v>
      </c>
      <c r="I210" s="3" t="str">
        <f t="shared" si="15"/>
        <v>New Arrivals</v>
      </c>
      <c r="J210" s="3" t="str">
        <f t="shared" si="16"/>
        <v>Meta Ads</v>
      </c>
      <c r="K210" t="str">
        <f t="shared" si="17"/>
        <v>18-03-2026</v>
      </c>
      <c r="L210">
        <f t="shared" si="18"/>
        <v>0.47454458402681193</v>
      </c>
      <c r="M210">
        <f t="shared" si="19"/>
        <v>146.20333333333335</v>
      </c>
    </row>
    <row r="211" spans="1:13">
      <c r="A211">
        <v>5209</v>
      </c>
      <c r="B211" s="1">
        <v>46115</v>
      </c>
      <c r="C211" s="3" t="s">
        <v>10</v>
      </c>
      <c r="D211" s="3" t="s">
        <v>11</v>
      </c>
      <c r="E211" s="2">
        <v>469.38</v>
      </c>
      <c r="F211">
        <v>399</v>
      </c>
      <c r="G211">
        <v>14</v>
      </c>
      <c r="H211" s="2">
        <v>451.5</v>
      </c>
      <c r="I211" s="3" t="str">
        <f t="shared" si="15"/>
        <v>Search - Generic</v>
      </c>
      <c r="J211" s="3" t="str">
        <f t="shared" si="16"/>
        <v>Google Ads</v>
      </c>
      <c r="K211" t="str">
        <f t="shared" si="17"/>
        <v>03-04-2026</v>
      </c>
      <c r="L211">
        <f t="shared" si="18"/>
        <v>0.96190719672759817</v>
      </c>
      <c r="M211">
        <f t="shared" si="19"/>
        <v>33.527142857142856</v>
      </c>
    </row>
    <row r="212" spans="1:13">
      <c r="A212">
        <v>5210</v>
      </c>
      <c r="B212" s="1">
        <v>46047</v>
      </c>
      <c r="C212" s="3" t="s">
        <v>10</v>
      </c>
      <c r="D212" s="3" t="s">
        <v>12</v>
      </c>
      <c r="E212" s="2">
        <v>182.98</v>
      </c>
      <c r="F212">
        <v>691</v>
      </c>
      <c r="G212">
        <v>33</v>
      </c>
      <c r="H212" s="2">
        <v>2716.89</v>
      </c>
      <c r="I212" s="3" t="str">
        <f t="shared" si="15"/>
        <v>Display</v>
      </c>
      <c r="J212" s="3" t="str">
        <f t="shared" si="16"/>
        <v>Google Ads</v>
      </c>
      <c r="K212" t="str">
        <f t="shared" si="17"/>
        <v>25-01-2026</v>
      </c>
      <c r="L212">
        <f t="shared" si="18"/>
        <v>14.848016176631326</v>
      </c>
      <c r="M212">
        <f t="shared" si="19"/>
        <v>5.5448484848484849</v>
      </c>
    </row>
    <row r="213" spans="1:13">
      <c r="A213">
        <v>5211</v>
      </c>
      <c r="B213" s="1">
        <v>46032</v>
      </c>
      <c r="C213" s="3" t="s">
        <v>8</v>
      </c>
      <c r="D213" s="3" t="s">
        <v>13</v>
      </c>
      <c r="E213" s="2">
        <v>369.68</v>
      </c>
      <c r="F213">
        <v>59</v>
      </c>
      <c r="G213">
        <v>5</v>
      </c>
      <c r="H213" s="2">
        <v>227.85</v>
      </c>
      <c r="I213" s="3" t="str">
        <f t="shared" si="15"/>
        <v>Abandoned Cart</v>
      </c>
      <c r="J213" s="3" t="str">
        <f t="shared" si="16"/>
        <v>Email</v>
      </c>
      <c r="K213" t="str">
        <f t="shared" si="17"/>
        <v>10-01-2026</v>
      </c>
      <c r="L213">
        <f t="shared" si="18"/>
        <v>0.61634386496429339</v>
      </c>
      <c r="M213">
        <f t="shared" si="19"/>
        <v>73.936000000000007</v>
      </c>
    </row>
    <row r="214" spans="1:13">
      <c r="A214">
        <v>5212</v>
      </c>
      <c r="B214" s="1">
        <v>46068</v>
      </c>
      <c r="C214" s="3" t="s">
        <v>8</v>
      </c>
      <c r="D214" s="3" t="s">
        <v>13</v>
      </c>
      <c r="E214" s="2">
        <v>496.83</v>
      </c>
      <c r="F214">
        <v>552</v>
      </c>
      <c r="G214">
        <v>28</v>
      </c>
      <c r="H214" s="2">
        <v>1603.28</v>
      </c>
      <c r="I214" s="3" t="str">
        <f t="shared" si="15"/>
        <v>Abandoned Cart</v>
      </c>
      <c r="J214" s="3" t="str">
        <f t="shared" si="16"/>
        <v>Email</v>
      </c>
      <c r="K214" t="str">
        <f t="shared" si="17"/>
        <v>15-02-2026</v>
      </c>
      <c r="L214">
        <f t="shared" si="18"/>
        <v>3.2270193023770708</v>
      </c>
      <c r="M214">
        <f t="shared" si="19"/>
        <v>17.743928571428572</v>
      </c>
    </row>
    <row r="215" spans="1:13">
      <c r="A215">
        <v>5213</v>
      </c>
      <c r="B215" s="1">
        <v>46038</v>
      </c>
      <c r="C215" s="3" t="s">
        <v>8</v>
      </c>
      <c r="D215" s="3" t="s">
        <v>13</v>
      </c>
      <c r="E215" s="2">
        <v>149.12</v>
      </c>
      <c r="F215">
        <v>54</v>
      </c>
      <c r="G215">
        <v>2</v>
      </c>
      <c r="H215" s="2">
        <v>56.22</v>
      </c>
      <c r="I215" s="3" t="str">
        <f t="shared" si="15"/>
        <v>Abandoned Cart</v>
      </c>
      <c r="J215" s="3" t="str">
        <f t="shared" si="16"/>
        <v>Email</v>
      </c>
      <c r="K215" t="str">
        <f t="shared" si="17"/>
        <v>16-01-2026</v>
      </c>
      <c r="L215">
        <f t="shared" si="18"/>
        <v>0.3770118025751073</v>
      </c>
      <c r="M215">
        <f t="shared" si="19"/>
        <v>74.56</v>
      </c>
    </row>
    <row r="216" spans="1:13">
      <c r="A216">
        <v>5214</v>
      </c>
      <c r="B216" s="1">
        <v>46139</v>
      </c>
      <c r="C216" s="3" t="s">
        <v>8</v>
      </c>
      <c r="D216" s="3" t="s">
        <v>9</v>
      </c>
      <c r="E216" s="2">
        <v>439.56</v>
      </c>
      <c r="F216">
        <v>744</v>
      </c>
      <c r="G216">
        <v>34</v>
      </c>
      <c r="H216" s="2">
        <v>1782.62</v>
      </c>
      <c r="I216" s="3" t="str">
        <f t="shared" si="15"/>
        <v>Welcome Series</v>
      </c>
      <c r="J216" s="3" t="str">
        <f t="shared" si="16"/>
        <v>Email</v>
      </c>
      <c r="K216" t="str">
        <f t="shared" si="17"/>
        <v>27-04-2026</v>
      </c>
      <c r="L216">
        <f t="shared" si="18"/>
        <v>4.055464555464555</v>
      </c>
      <c r="M216">
        <f t="shared" si="19"/>
        <v>12.928235294117647</v>
      </c>
    </row>
    <row r="217" spans="1:13">
      <c r="A217">
        <v>5215</v>
      </c>
      <c r="B217" s="1">
        <v>46059</v>
      </c>
      <c r="C217" s="3" t="s">
        <v>14</v>
      </c>
      <c r="D217" s="3" t="s">
        <v>19</v>
      </c>
      <c r="E217" s="2">
        <v>495.69</v>
      </c>
      <c r="F217">
        <v>213</v>
      </c>
      <c r="G217">
        <v>4</v>
      </c>
      <c r="H217" s="2">
        <v>122.56</v>
      </c>
      <c r="I217" s="3" t="str">
        <f t="shared" si="15"/>
        <v>New Arrivals</v>
      </c>
      <c r="J217" s="3" t="str">
        <f t="shared" si="16"/>
        <v>Meta Ads</v>
      </c>
      <c r="K217" t="str">
        <f t="shared" si="17"/>
        <v>06-02-2026</v>
      </c>
      <c r="L217">
        <f t="shared" si="18"/>
        <v>0.24725130625996086</v>
      </c>
      <c r="M217">
        <f t="shared" si="19"/>
        <v>123.9225</v>
      </c>
    </row>
    <row r="218" spans="1:13">
      <c r="A218">
        <v>5216</v>
      </c>
      <c r="B218" s="1">
        <v>46198</v>
      </c>
      <c r="C218" s="3" t="s">
        <v>8</v>
      </c>
      <c r="D218" s="3" t="s">
        <v>9</v>
      </c>
      <c r="E218" s="2">
        <v>247.27</v>
      </c>
      <c r="F218">
        <v>672</v>
      </c>
      <c r="G218">
        <v>54</v>
      </c>
      <c r="H218" s="2">
        <v>3140.64</v>
      </c>
      <c r="I218" s="3" t="str">
        <f t="shared" si="15"/>
        <v>Welcome Series</v>
      </c>
      <c r="J218" s="3" t="str">
        <f t="shared" si="16"/>
        <v>Email</v>
      </c>
      <c r="K218" t="str">
        <f t="shared" si="17"/>
        <v>25-06-2026</v>
      </c>
      <c r="L218">
        <f t="shared" si="18"/>
        <v>12.701257734460306</v>
      </c>
      <c r="M218">
        <f t="shared" si="19"/>
        <v>4.5790740740740743</v>
      </c>
    </row>
    <row r="219" spans="1:13">
      <c r="A219">
        <v>5217</v>
      </c>
      <c r="B219" s="1">
        <v>46119</v>
      </c>
      <c r="C219" s="3" t="s">
        <v>8</v>
      </c>
      <c r="D219" s="3" t="s">
        <v>17</v>
      </c>
      <c r="E219" s="2">
        <v>314.14999999999998</v>
      </c>
      <c r="F219">
        <v>703</v>
      </c>
      <c r="G219">
        <v>55</v>
      </c>
      <c r="H219" s="2">
        <v>1632.4</v>
      </c>
      <c r="I219" s="3" t="str">
        <f t="shared" si="15"/>
        <v>Newsletter</v>
      </c>
      <c r="J219" s="3" t="str">
        <f t="shared" si="16"/>
        <v>Email</v>
      </c>
      <c r="K219" t="str">
        <f t="shared" si="17"/>
        <v>07-04-2026</v>
      </c>
      <c r="L219">
        <f t="shared" si="18"/>
        <v>5.1962438325640621</v>
      </c>
      <c r="M219">
        <f t="shared" si="19"/>
        <v>5.711818181818181</v>
      </c>
    </row>
    <row r="220" spans="1:13">
      <c r="A220">
        <v>5218</v>
      </c>
      <c r="B220" s="1">
        <v>46058</v>
      </c>
      <c r="C220" s="3" t="s">
        <v>8</v>
      </c>
      <c r="D220" s="3" t="s">
        <v>24</v>
      </c>
      <c r="E220" s="2">
        <v>51.61</v>
      </c>
      <c r="F220">
        <v>785</v>
      </c>
      <c r="G220">
        <v>48</v>
      </c>
      <c r="H220" s="2">
        <v>2834.88</v>
      </c>
      <c r="I220" s="3" t="str">
        <f t="shared" si="15"/>
        <v>Promo Blast</v>
      </c>
      <c r="J220" s="3" t="str">
        <f t="shared" si="16"/>
        <v>Email</v>
      </c>
      <c r="K220" t="str">
        <f t="shared" si="17"/>
        <v>05-02-2026</v>
      </c>
      <c r="L220">
        <f t="shared" si="18"/>
        <v>54.928889750048441</v>
      </c>
      <c r="M220">
        <f t="shared" si="19"/>
        <v>1.0752083333333333</v>
      </c>
    </row>
    <row r="221" spans="1:13">
      <c r="A221">
        <v>5219</v>
      </c>
      <c r="B221" s="1">
        <v>46140</v>
      </c>
      <c r="C221" s="3" t="s">
        <v>8</v>
      </c>
      <c r="D221" s="3" t="s">
        <v>17</v>
      </c>
      <c r="E221" s="2">
        <v>434.53</v>
      </c>
      <c r="F221">
        <v>448</v>
      </c>
      <c r="G221">
        <v>16</v>
      </c>
      <c r="H221" s="2">
        <v>560</v>
      </c>
      <c r="I221" s="3" t="str">
        <f t="shared" si="15"/>
        <v>Newsletter</v>
      </c>
      <c r="J221" s="3" t="str">
        <f t="shared" si="16"/>
        <v>Email</v>
      </c>
      <c r="K221" t="str">
        <f t="shared" si="17"/>
        <v>28-04-2026</v>
      </c>
      <c r="L221">
        <f t="shared" si="18"/>
        <v>1.2887487630313212</v>
      </c>
      <c r="M221">
        <f t="shared" si="19"/>
        <v>27.158124999999998</v>
      </c>
    </row>
    <row r="222" spans="1:13">
      <c r="A222">
        <v>5220</v>
      </c>
      <c r="B222" s="1">
        <v>46138</v>
      </c>
      <c r="C222" s="3" t="s">
        <v>10</v>
      </c>
      <c r="D222" s="3" t="s">
        <v>12</v>
      </c>
      <c r="E222" s="2">
        <v>73.66</v>
      </c>
      <c r="F222">
        <v>659</v>
      </c>
      <c r="G222">
        <v>25</v>
      </c>
      <c r="H222" s="2">
        <v>1922.25</v>
      </c>
      <c r="I222" s="3" t="str">
        <f t="shared" si="15"/>
        <v>Display</v>
      </c>
      <c r="J222" s="3" t="str">
        <f t="shared" si="16"/>
        <v>Google Ads</v>
      </c>
      <c r="K222" t="str">
        <f t="shared" si="17"/>
        <v>26-04-2026</v>
      </c>
      <c r="L222">
        <f t="shared" si="18"/>
        <v>26.096253054575076</v>
      </c>
      <c r="M222">
        <f t="shared" si="19"/>
        <v>2.9463999999999997</v>
      </c>
    </row>
    <row r="223" spans="1:13">
      <c r="A223">
        <v>5221</v>
      </c>
      <c r="B223" s="1">
        <v>46056</v>
      </c>
      <c r="C223" s="3" t="s">
        <v>8</v>
      </c>
      <c r="D223" s="3" t="s">
        <v>9</v>
      </c>
      <c r="E223" s="2">
        <v>286.98</v>
      </c>
      <c r="F223">
        <v>10</v>
      </c>
      <c r="G223">
        <v>0</v>
      </c>
      <c r="H223" s="2">
        <v>0</v>
      </c>
      <c r="I223" s="3" t="str">
        <f t="shared" si="15"/>
        <v>Welcome Series</v>
      </c>
      <c r="J223" s="3" t="str">
        <f t="shared" si="16"/>
        <v>Email</v>
      </c>
      <c r="K223" t="str">
        <f t="shared" si="17"/>
        <v>03-02-2026</v>
      </c>
      <c r="L223">
        <f t="shared" si="18"/>
        <v>0</v>
      </c>
      <c r="M223">
        <f t="shared" si="19"/>
        <v>0</v>
      </c>
    </row>
    <row r="224" spans="1:13">
      <c r="A224">
        <v>5222</v>
      </c>
      <c r="B224" s="1">
        <v>46135</v>
      </c>
      <c r="C224" s="3" t="s">
        <v>8</v>
      </c>
      <c r="D224" s="3" t="s">
        <v>24</v>
      </c>
      <c r="E224" s="2">
        <v>191.71</v>
      </c>
      <c r="F224">
        <v>307</v>
      </c>
      <c r="G224">
        <v>20</v>
      </c>
      <c r="H224" s="2">
        <v>983.2</v>
      </c>
      <c r="I224" s="3" t="str">
        <f t="shared" si="15"/>
        <v>Promo Blast</v>
      </c>
      <c r="J224" s="3" t="str">
        <f t="shared" si="16"/>
        <v>Email</v>
      </c>
      <c r="K224" t="str">
        <f t="shared" si="17"/>
        <v>23-04-2026</v>
      </c>
      <c r="L224">
        <f t="shared" si="18"/>
        <v>5.1285796254759797</v>
      </c>
      <c r="M224">
        <f t="shared" si="19"/>
        <v>9.5854999999999997</v>
      </c>
    </row>
    <row r="225" spans="1:13">
      <c r="A225">
        <v>5223</v>
      </c>
      <c r="B225" s="1">
        <v>46127</v>
      </c>
      <c r="C225" s="3" t="s">
        <v>8</v>
      </c>
      <c r="D225" s="3" t="s">
        <v>9</v>
      </c>
      <c r="E225" s="2">
        <v>297.77999999999997</v>
      </c>
      <c r="F225">
        <v>643</v>
      </c>
      <c r="G225">
        <v>26</v>
      </c>
      <c r="H225" s="2">
        <v>2291.64</v>
      </c>
      <c r="I225" s="3" t="str">
        <f t="shared" si="15"/>
        <v>Welcome Series</v>
      </c>
      <c r="J225" s="3" t="str">
        <f t="shared" si="16"/>
        <v>Email</v>
      </c>
      <c r="K225" t="str">
        <f t="shared" si="17"/>
        <v>15-04-2026</v>
      </c>
      <c r="L225">
        <f t="shared" si="18"/>
        <v>7.6957485391900065</v>
      </c>
      <c r="M225">
        <f t="shared" si="19"/>
        <v>11.453076923076923</v>
      </c>
    </row>
    <row r="226" spans="1:13">
      <c r="A226">
        <v>5224</v>
      </c>
      <c r="B226" s="1">
        <v>46137</v>
      </c>
      <c r="C226" s="3" t="s">
        <v>10</v>
      </c>
      <c r="D226" s="3" t="s">
        <v>12</v>
      </c>
      <c r="E226" s="2">
        <v>383.38</v>
      </c>
      <c r="F226">
        <v>36</v>
      </c>
      <c r="G226">
        <v>0</v>
      </c>
      <c r="H226" s="2">
        <v>0</v>
      </c>
      <c r="I226" s="3" t="str">
        <f t="shared" si="15"/>
        <v>Display</v>
      </c>
      <c r="J226" s="3" t="str">
        <f t="shared" si="16"/>
        <v>Google Ads</v>
      </c>
      <c r="K226" t="str">
        <f t="shared" si="17"/>
        <v>25-04-2026</v>
      </c>
      <c r="L226">
        <f t="shared" si="18"/>
        <v>0</v>
      </c>
      <c r="M226">
        <f t="shared" si="19"/>
        <v>0</v>
      </c>
    </row>
    <row r="227" spans="1:13">
      <c r="A227">
        <v>5225</v>
      </c>
      <c r="B227" s="1">
        <v>46039</v>
      </c>
      <c r="C227" s="3" t="s">
        <v>10</v>
      </c>
      <c r="D227" s="3" t="s">
        <v>12</v>
      </c>
      <c r="E227" s="2">
        <v>249.1</v>
      </c>
      <c r="F227">
        <v>247</v>
      </c>
      <c r="G227">
        <v>12</v>
      </c>
      <c r="H227" s="2">
        <v>613.32000000000005</v>
      </c>
      <c r="I227" s="3" t="str">
        <f t="shared" si="15"/>
        <v>Display</v>
      </c>
      <c r="J227" s="3" t="str">
        <f t="shared" si="16"/>
        <v>Google Ads</v>
      </c>
      <c r="K227" t="str">
        <f t="shared" si="17"/>
        <v>17-01-2026</v>
      </c>
      <c r="L227">
        <f t="shared" si="18"/>
        <v>2.4621437173825775</v>
      </c>
      <c r="M227">
        <f t="shared" si="19"/>
        <v>20.758333333333333</v>
      </c>
    </row>
    <row r="228" spans="1:13">
      <c r="A228">
        <v>5226</v>
      </c>
      <c r="B228" s="1">
        <v>46053</v>
      </c>
      <c r="C228" s="3" t="s">
        <v>25</v>
      </c>
      <c r="D228" s="3" t="s">
        <v>15</v>
      </c>
      <c r="E228" s="2">
        <v>258.52999999999997</v>
      </c>
      <c r="F228">
        <v>781</v>
      </c>
      <c r="G228">
        <v>11</v>
      </c>
      <c r="H228" s="2">
        <v>599.83000000000004</v>
      </c>
      <c r="I228" s="3" t="str">
        <f t="shared" si="15"/>
        <v>Summer Sale</v>
      </c>
      <c r="J228" s="3" t="str">
        <f t="shared" si="16"/>
        <v>Meta Ads</v>
      </c>
      <c r="K228" t="str">
        <f t="shared" si="17"/>
        <v>31-01-2026</v>
      </c>
      <c r="L228">
        <f t="shared" si="18"/>
        <v>2.3201562681313583</v>
      </c>
      <c r="M228">
        <f t="shared" si="19"/>
        <v>23.50272727272727</v>
      </c>
    </row>
    <row r="229" spans="1:13">
      <c r="A229">
        <v>5227</v>
      </c>
      <c r="B229" s="1">
        <v>46129</v>
      </c>
      <c r="C229" s="3" t="s">
        <v>10</v>
      </c>
      <c r="D229" s="3" t="s">
        <v>20</v>
      </c>
      <c r="E229" s="2">
        <v>180.48</v>
      </c>
      <c r="F229">
        <v>540</v>
      </c>
      <c r="G229">
        <v>32</v>
      </c>
      <c r="H229" s="2">
        <v>1187.2</v>
      </c>
      <c r="I229" s="3" t="str">
        <f t="shared" si="15"/>
        <v>Search - Brand</v>
      </c>
      <c r="J229" s="3" t="str">
        <f t="shared" si="16"/>
        <v>Google Ads</v>
      </c>
      <c r="K229" t="str">
        <f t="shared" si="17"/>
        <v>17-04-2026</v>
      </c>
      <c r="L229">
        <f t="shared" si="18"/>
        <v>6.5780141843971638</v>
      </c>
      <c r="M229">
        <f t="shared" si="19"/>
        <v>5.64</v>
      </c>
    </row>
    <row r="230" spans="1:13">
      <c r="A230">
        <v>5228</v>
      </c>
      <c r="B230" s="1">
        <v>46099</v>
      </c>
      <c r="C230" s="3" t="s">
        <v>8</v>
      </c>
      <c r="D230" s="3" t="s">
        <v>24</v>
      </c>
      <c r="E230" s="2">
        <v>139.29</v>
      </c>
      <c r="F230">
        <v>399</v>
      </c>
      <c r="G230">
        <v>31</v>
      </c>
      <c r="H230" s="2">
        <v>2501.08</v>
      </c>
      <c r="I230" s="3" t="str">
        <f t="shared" si="15"/>
        <v>Promo Blast</v>
      </c>
      <c r="J230" s="3" t="str">
        <f t="shared" si="16"/>
        <v>Email</v>
      </c>
      <c r="K230" t="str">
        <f t="shared" si="17"/>
        <v>18-03-2026</v>
      </c>
      <c r="L230">
        <f t="shared" si="18"/>
        <v>17.955919305047026</v>
      </c>
      <c r="M230">
        <f t="shared" si="19"/>
        <v>4.4932258064516128</v>
      </c>
    </row>
    <row r="231" spans="1:13">
      <c r="A231">
        <v>5229</v>
      </c>
      <c r="B231" s="1">
        <v>46141</v>
      </c>
      <c r="C231" s="3" t="s">
        <v>8</v>
      </c>
      <c r="D231" s="3" t="s">
        <v>13</v>
      </c>
      <c r="E231" s="2">
        <v>116.13</v>
      </c>
      <c r="F231">
        <v>733</v>
      </c>
      <c r="G231">
        <v>46</v>
      </c>
      <c r="H231" s="2">
        <v>1303.18</v>
      </c>
      <c r="I231" s="3" t="str">
        <f t="shared" si="15"/>
        <v>Abandoned Cart</v>
      </c>
      <c r="J231" s="3" t="str">
        <f t="shared" si="16"/>
        <v>Email</v>
      </c>
      <c r="K231" t="str">
        <f t="shared" si="17"/>
        <v>29-04-2026</v>
      </c>
      <c r="L231">
        <f t="shared" si="18"/>
        <v>11.221734263325585</v>
      </c>
      <c r="M231">
        <f t="shared" si="19"/>
        <v>2.5245652173913045</v>
      </c>
    </row>
    <row r="232" spans="1:13">
      <c r="A232">
        <v>5230</v>
      </c>
      <c r="B232" s="1">
        <v>46093</v>
      </c>
      <c r="C232" s="3" t="s">
        <v>10</v>
      </c>
      <c r="D232" s="3" t="s">
        <v>18</v>
      </c>
      <c r="E232" s="2">
        <v>487.11</v>
      </c>
      <c r="F232">
        <v>635</v>
      </c>
      <c r="G232">
        <v>24</v>
      </c>
      <c r="H232" s="2">
        <v>2058.48</v>
      </c>
      <c r="I232" s="3" t="str">
        <f t="shared" si="15"/>
        <v>Shopping</v>
      </c>
      <c r="J232" s="3" t="str">
        <f t="shared" si="16"/>
        <v>Google Ads</v>
      </c>
      <c r="K232" t="str">
        <f t="shared" si="17"/>
        <v>12-03-2026</v>
      </c>
      <c r="L232">
        <f t="shared" si="18"/>
        <v>4.2259037999630475</v>
      </c>
      <c r="M232">
        <f t="shared" si="19"/>
        <v>20.296250000000001</v>
      </c>
    </row>
    <row r="233" spans="1:13">
      <c r="A233">
        <v>5231</v>
      </c>
      <c r="B233" s="1">
        <v>46035</v>
      </c>
      <c r="C233" s="3" t="s">
        <v>14</v>
      </c>
      <c r="D233" s="3" t="s">
        <v>22</v>
      </c>
      <c r="E233" s="2">
        <v>289.31</v>
      </c>
      <c r="F233">
        <v>178</v>
      </c>
      <c r="G233">
        <v>3</v>
      </c>
      <c r="H233" s="2">
        <v>206.4</v>
      </c>
      <c r="I233" s="3" t="str">
        <f t="shared" si="15"/>
        <v>Brand Awareness</v>
      </c>
      <c r="J233" s="3" t="str">
        <f t="shared" si="16"/>
        <v>Meta Ads</v>
      </c>
      <c r="K233" t="str">
        <f t="shared" si="17"/>
        <v>13-01-2026</v>
      </c>
      <c r="L233">
        <f t="shared" si="18"/>
        <v>0.71342158929867616</v>
      </c>
      <c r="M233">
        <f t="shared" si="19"/>
        <v>96.436666666666667</v>
      </c>
    </row>
    <row r="234" spans="1:13">
      <c r="A234">
        <v>5232</v>
      </c>
      <c r="B234" s="1">
        <v>46075</v>
      </c>
      <c r="C234" s="3" t="s">
        <v>21</v>
      </c>
      <c r="D234" s="3" t="s">
        <v>20</v>
      </c>
      <c r="E234" s="2">
        <v>44.15</v>
      </c>
      <c r="F234">
        <v>239</v>
      </c>
      <c r="G234">
        <v>11</v>
      </c>
      <c r="H234" s="2">
        <v>459.14</v>
      </c>
      <c r="I234" s="3" t="str">
        <f t="shared" si="15"/>
        <v>Search - Brand</v>
      </c>
      <c r="J234" s="3" t="str">
        <f t="shared" si="16"/>
        <v>Google Ads</v>
      </c>
      <c r="K234" t="str">
        <f t="shared" si="17"/>
        <v>22-02-2026</v>
      </c>
      <c r="L234">
        <f t="shared" si="18"/>
        <v>10.399546998867498</v>
      </c>
      <c r="M234">
        <f t="shared" si="19"/>
        <v>4.0136363636363637</v>
      </c>
    </row>
    <row r="235" spans="1:13">
      <c r="A235">
        <v>5233</v>
      </c>
      <c r="B235" s="1">
        <v>46033</v>
      </c>
      <c r="C235" s="3" t="s">
        <v>10</v>
      </c>
      <c r="D235" s="3" t="s">
        <v>18</v>
      </c>
      <c r="E235" s="2">
        <v>402.66</v>
      </c>
      <c r="F235">
        <v>733</v>
      </c>
      <c r="G235">
        <v>31</v>
      </c>
      <c r="H235" s="2">
        <v>1085.31</v>
      </c>
      <c r="I235" s="3" t="str">
        <f t="shared" si="15"/>
        <v>Shopping</v>
      </c>
      <c r="J235" s="3" t="str">
        <f t="shared" si="16"/>
        <v>Google Ads</v>
      </c>
      <c r="K235" t="str">
        <f t="shared" si="17"/>
        <v>11-01-2026</v>
      </c>
      <c r="L235">
        <f t="shared" si="18"/>
        <v>2.6953509164059004</v>
      </c>
      <c r="M235">
        <f t="shared" si="19"/>
        <v>12.989032258064517</v>
      </c>
    </row>
    <row r="236" spans="1:13">
      <c r="A236">
        <v>5234</v>
      </c>
      <c r="B236" s="1">
        <v>46082</v>
      </c>
      <c r="C236" s="3" t="s">
        <v>14</v>
      </c>
      <c r="D236" s="3" t="s">
        <v>19</v>
      </c>
      <c r="E236" s="2">
        <v>127.22</v>
      </c>
      <c r="F236">
        <v>568</v>
      </c>
      <c r="G236">
        <v>13</v>
      </c>
      <c r="H236" s="2">
        <v>492.44</v>
      </c>
      <c r="I236" s="3" t="str">
        <f t="shared" si="15"/>
        <v>New Arrivals</v>
      </c>
      <c r="J236" s="3" t="str">
        <f t="shared" si="16"/>
        <v>Meta Ads</v>
      </c>
      <c r="K236" t="str">
        <f t="shared" si="17"/>
        <v>01-03-2026</v>
      </c>
      <c r="L236">
        <f t="shared" si="18"/>
        <v>3.8707750353717971</v>
      </c>
      <c r="M236">
        <f t="shared" si="19"/>
        <v>9.7861538461538462</v>
      </c>
    </row>
    <row r="237" spans="1:13">
      <c r="A237">
        <v>5235</v>
      </c>
      <c r="B237" s="1">
        <v>46113</v>
      </c>
      <c r="C237" s="3" t="s">
        <v>8</v>
      </c>
      <c r="D237" s="3" t="s">
        <v>13</v>
      </c>
      <c r="E237" s="2">
        <v>272.64</v>
      </c>
      <c r="F237">
        <v>307</v>
      </c>
      <c r="G237">
        <v>18</v>
      </c>
      <c r="H237" s="2">
        <v>470.88</v>
      </c>
      <c r="I237" s="3" t="str">
        <f t="shared" si="15"/>
        <v>Abandoned Cart</v>
      </c>
      <c r="J237" s="3" t="str">
        <f t="shared" si="16"/>
        <v>Email</v>
      </c>
      <c r="K237" t="str">
        <f t="shared" si="17"/>
        <v>01-04-2026</v>
      </c>
      <c r="L237">
        <f t="shared" si="18"/>
        <v>1.727112676056338</v>
      </c>
      <c r="M237">
        <f t="shared" si="19"/>
        <v>15.146666666666667</v>
      </c>
    </row>
    <row r="238" spans="1:13">
      <c r="A238">
        <v>5236</v>
      </c>
      <c r="B238" s="1">
        <v>46100</v>
      </c>
      <c r="C238" s="3" t="s">
        <v>14</v>
      </c>
      <c r="D238" s="3" t="s">
        <v>23</v>
      </c>
      <c r="E238" s="2">
        <v>387.24</v>
      </c>
      <c r="F238">
        <v>242</v>
      </c>
      <c r="G238">
        <v>7</v>
      </c>
      <c r="H238" s="2">
        <v>222.45</v>
      </c>
      <c r="I238" s="3" t="str">
        <f t="shared" si="15"/>
        <v>Retargeting</v>
      </c>
      <c r="J238" s="3" t="str">
        <f t="shared" si="16"/>
        <v>Meta Ads</v>
      </c>
      <c r="K238" t="str">
        <f t="shared" si="17"/>
        <v>19-03-2026</v>
      </c>
      <c r="L238">
        <f t="shared" si="18"/>
        <v>0.57444995351719863</v>
      </c>
      <c r="M238">
        <f t="shared" si="19"/>
        <v>55.32</v>
      </c>
    </row>
    <row r="239" spans="1:13">
      <c r="A239">
        <v>5237</v>
      </c>
      <c r="B239" s="1">
        <v>46099</v>
      </c>
      <c r="C239" s="3" t="s">
        <v>14</v>
      </c>
      <c r="D239" s="3" t="s">
        <v>19</v>
      </c>
      <c r="E239" s="2">
        <v>178.19</v>
      </c>
      <c r="F239">
        <v>382</v>
      </c>
      <c r="G239">
        <v>5</v>
      </c>
      <c r="H239" s="2">
        <v>381</v>
      </c>
      <c r="I239" s="3" t="str">
        <f t="shared" si="15"/>
        <v>New Arrivals</v>
      </c>
      <c r="J239" s="3" t="str">
        <f t="shared" si="16"/>
        <v>Meta Ads</v>
      </c>
      <c r="K239" t="str">
        <f t="shared" si="17"/>
        <v>18-03-2026</v>
      </c>
      <c r="L239">
        <f t="shared" si="18"/>
        <v>2.1381671249789549</v>
      </c>
      <c r="M239">
        <f t="shared" si="19"/>
        <v>35.637999999999998</v>
      </c>
    </row>
    <row r="240" spans="1:13">
      <c r="A240">
        <v>5238</v>
      </c>
      <c r="B240" s="1">
        <v>46064</v>
      </c>
      <c r="C240" s="3" t="s">
        <v>10</v>
      </c>
      <c r="D240" s="3" t="s">
        <v>20</v>
      </c>
      <c r="E240" s="2">
        <v>266.42</v>
      </c>
      <c r="F240">
        <v>109</v>
      </c>
      <c r="G240">
        <v>3</v>
      </c>
      <c r="H240" s="2">
        <v>210.81</v>
      </c>
      <c r="I240" s="3" t="str">
        <f t="shared" si="15"/>
        <v>Search - Brand</v>
      </c>
      <c r="J240" s="3" t="str">
        <f t="shared" si="16"/>
        <v>Google Ads</v>
      </c>
      <c r="K240" t="str">
        <f t="shared" si="17"/>
        <v>11-02-2026</v>
      </c>
      <c r="L240">
        <f t="shared" si="18"/>
        <v>0.7912694242174011</v>
      </c>
      <c r="M240">
        <f t="shared" si="19"/>
        <v>88.806666666666672</v>
      </c>
    </row>
    <row r="241" spans="1:13">
      <c r="A241">
        <v>5239</v>
      </c>
      <c r="B241" s="1">
        <v>46115</v>
      </c>
      <c r="C241" s="3" t="s">
        <v>8</v>
      </c>
      <c r="D241" s="3" t="s">
        <v>17</v>
      </c>
      <c r="E241" s="2">
        <v>439.25</v>
      </c>
      <c r="F241">
        <v>501</v>
      </c>
      <c r="G241">
        <v>24</v>
      </c>
      <c r="H241" s="2">
        <v>1007.52</v>
      </c>
      <c r="I241" s="3" t="str">
        <f t="shared" si="15"/>
        <v>Newsletter</v>
      </c>
      <c r="J241" s="3" t="str">
        <f t="shared" si="16"/>
        <v>Email</v>
      </c>
      <c r="K241" t="str">
        <f t="shared" si="17"/>
        <v>03-04-2026</v>
      </c>
      <c r="L241">
        <f t="shared" si="18"/>
        <v>2.2937279453614114</v>
      </c>
      <c r="M241">
        <f t="shared" si="19"/>
        <v>18.302083333333332</v>
      </c>
    </row>
    <row r="242" spans="1:13">
      <c r="A242">
        <v>5240</v>
      </c>
      <c r="B242" s="1">
        <v>46106</v>
      </c>
      <c r="C242" s="3" t="s">
        <v>25</v>
      </c>
      <c r="D242" s="3" t="s">
        <v>23</v>
      </c>
      <c r="E242" s="2">
        <v>142.99</v>
      </c>
      <c r="F242">
        <v>212</v>
      </c>
      <c r="G242">
        <v>3</v>
      </c>
      <c r="H242" s="2">
        <v>183.27</v>
      </c>
      <c r="I242" s="3" t="str">
        <f t="shared" si="15"/>
        <v>Retargeting</v>
      </c>
      <c r="J242" s="3" t="str">
        <f t="shared" si="16"/>
        <v>Meta Ads</v>
      </c>
      <c r="K242" t="str">
        <f t="shared" si="17"/>
        <v>25-03-2026</v>
      </c>
      <c r="L242">
        <f t="shared" si="18"/>
        <v>1.2816980208406181</v>
      </c>
      <c r="M242">
        <f t="shared" si="19"/>
        <v>47.663333333333334</v>
      </c>
    </row>
    <row r="243" spans="1:13">
      <c r="A243">
        <v>5241</v>
      </c>
      <c r="B243" s="1">
        <v>46047</v>
      </c>
      <c r="C243" s="3" t="s">
        <v>14</v>
      </c>
      <c r="D243" s="3" t="s">
        <v>15</v>
      </c>
      <c r="E243" s="2">
        <v>293.8</v>
      </c>
      <c r="F243">
        <v>715</v>
      </c>
      <c r="G243">
        <v>17</v>
      </c>
      <c r="H243" s="2">
        <v>521.22</v>
      </c>
      <c r="I243" s="3" t="str">
        <f t="shared" si="15"/>
        <v>Summer Sale</v>
      </c>
      <c r="J243" s="3" t="str">
        <f t="shared" si="16"/>
        <v>Meta Ads</v>
      </c>
      <c r="K243" t="str">
        <f t="shared" si="17"/>
        <v>25-01-2026</v>
      </c>
      <c r="L243">
        <f t="shared" si="18"/>
        <v>1.7740639891082368</v>
      </c>
      <c r="M243">
        <f t="shared" si="19"/>
        <v>17.28235294117647</v>
      </c>
    </row>
    <row r="244" spans="1:13">
      <c r="A244">
        <v>5242</v>
      </c>
      <c r="B244" s="1">
        <v>46051</v>
      </c>
      <c r="C244" s="3" t="s">
        <v>8</v>
      </c>
      <c r="D244" s="3" t="s">
        <v>17</v>
      </c>
      <c r="E244" s="2">
        <v>297.69</v>
      </c>
      <c r="F244">
        <v>249</v>
      </c>
      <c r="G244">
        <v>11</v>
      </c>
      <c r="H244" s="2">
        <v>829.07</v>
      </c>
      <c r="I244" s="3" t="str">
        <f t="shared" si="15"/>
        <v>Newsletter</v>
      </c>
      <c r="J244" s="3" t="str">
        <f t="shared" si="16"/>
        <v>Email</v>
      </c>
      <c r="K244" t="str">
        <f t="shared" si="17"/>
        <v>29-01-2026</v>
      </c>
      <c r="L244">
        <f t="shared" si="18"/>
        <v>2.7850112533172093</v>
      </c>
      <c r="M244">
        <f t="shared" si="19"/>
        <v>27.062727272727273</v>
      </c>
    </row>
    <row r="245" spans="1:13">
      <c r="A245">
        <v>5243</v>
      </c>
      <c r="B245" s="1">
        <v>46048</v>
      </c>
      <c r="C245" s="3" t="s">
        <v>14</v>
      </c>
      <c r="D245" s="3" t="s">
        <v>23</v>
      </c>
      <c r="E245" s="2">
        <v>409.06</v>
      </c>
      <c r="F245">
        <v>482</v>
      </c>
      <c r="G245">
        <v>10</v>
      </c>
      <c r="H245" s="2">
        <v>368.8</v>
      </c>
      <c r="I245" s="3" t="str">
        <f t="shared" si="15"/>
        <v>Retargeting</v>
      </c>
      <c r="J245" s="3" t="str">
        <f t="shared" si="16"/>
        <v>Meta Ads</v>
      </c>
      <c r="K245" t="str">
        <f t="shared" si="17"/>
        <v>26-01-2026</v>
      </c>
      <c r="L245">
        <f t="shared" si="18"/>
        <v>0.90157923043074373</v>
      </c>
      <c r="M245">
        <f t="shared" si="19"/>
        <v>40.905999999999999</v>
      </c>
    </row>
    <row r="246" spans="1:13">
      <c r="A246">
        <v>5244</v>
      </c>
      <c r="B246" s="1">
        <v>46060</v>
      </c>
      <c r="C246" s="3" t="s">
        <v>14</v>
      </c>
      <c r="D246" s="3" t="s">
        <v>19</v>
      </c>
      <c r="E246" s="2">
        <v>463.95</v>
      </c>
      <c r="F246">
        <v>712</v>
      </c>
      <c r="G246">
        <v>11</v>
      </c>
      <c r="H246" s="2">
        <v>972.84</v>
      </c>
      <c r="I246" s="3" t="str">
        <f t="shared" si="15"/>
        <v>New Arrivals</v>
      </c>
      <c r="J246" s="3" t="str">
        <f t="shared" si="16"/>
        <v>Meta Ads</v>
      </c>
      <c r="K246" t="str">
        <f t="shared" si="17"/>
        <v>07-02-2026</v>
      </c>
      <c r="L246">
        <f t="shared" si="18"/>
        <v>2.0968638861946332</v>
      </c>
      <c r="M246">
        <f t="shared" si="19"/>
        <v>42.177272727272729</v>
      </c>
    </row>
    <row r="247" spans="1:13">
      <c r="A247">
        <v>5245</v>
      </c>
      <c r="B247" s="1">
        <v>46040</v>
      </c>
      <c r="C247" s="3" t="s">
        <v>14</v>
      </c>
      <c r="D247" s="3" t="s">
        <v>15</v>
      </c>
      <c r="E247" s="2">
        <v>64.349999999999994</v>
      </c>
      <c r="F247">
        <v>744</v>
      </c>
      <c r="G247">
        <v>21</v>
      </c>
      <c r="H247" s="2">
        <v>1320.48</v>
      </c>
      <c r="I247" s="3" t="str">
        <f t="shared" si="15"/>
        <v>Summer Sale</v>
      </c>
      <c r="J247" s="3" t="str">
        <f t="shared" si="16"/>
        <v>Meta Ads</v>
      </c>
      <c r="K247" t="str">
        <f t="shared" si="17"/>
        <v>18-01-2026</v>
      </c>
      <c r="L247">
        <f t="shared" si="18"/>
        <v>20.520279720279721</v>
      </c>
      <c r="M247">
        <f t="shared" si="19"/>
        <v>3.0642857142857141</v>
      </c>
    </row>
    <row r="248" spans="1:13">
      <c r="A248">
        <v>5246</v>
      </c>
      <c r="B248" s="1">
        <v>46200</v>
      </c>
      <c r="C248" s="3" t="s">
        <v>14</v>
      </c>
      <c r="D248" s="3" t="s">
        <v>22</v>
      </c>
      <c r="E248" s="2">
        <v>303.38</v>
      </c>
      <c r="F248">
        <v>455</v>
      </c>
      <c r="G248">
        <v>8</v>
      </c>
      <c r="H248" s="2">
        <v>532.64</v>
      </c>
      <c r="I248" s="3" t="str">
        <f t="shared" si="15"/>
        <v>Brand Awareness</v>
      </c>
      <c r="J248" s="3" t="str">
        <f t="shared" si="16"/>
        <v>Meta Ads</v>
      </c>
      <c r="K248" t="str">
        <f t="shared" si="17"/>
        <v>27-06-2026</v>
      </c>
      <c r="L248">
        <f t="shared" si="18"/>
        <v>1.7556859384270551</v>
      </c>
      <c r="M248">
        <f t="shared" si="19"/>
        <v>37.922499999999999</v>
      </c>
    </row>
    <row r="249" spans="1:13">
      <c r="A249">
        <v>5247</v>
      </c>
      <c r="B249" s="1">
        <v>46184</v>
      </c>
      <c r="C249" s="3" t="s">
        <v>14</v>
      </c>
      <c r="D249" s="3" t="s">
        <v>19</v>
      </c>
      <c r="E249" s="2">
        <v>135.25</v>
      </c>
      <c r="F249">
        <v>611</v>
      </c>
      <c r="G249">
        <v>11</v>
      </c>
      <c r="H249" s="2">
        <v>444.18</v>
      </c>
      <c r="I249" s="3" t="str">
        <f t="shared" si="15"/>
        <v>New Arrivals</v>
      </c>
      <c r="J249" s="3" t="str">
        <f t="shared" si="16"/>
        <v>Meta Ads</v>
      </c>
      <c r="K249" t="str">
        <f t="shared" si="17"/>
        <v>11-06-2026</v>
      </c>
      <c r="L249">
        <f t="shared" si="18"/>
        <v>3.2841404805914971</v>
      </c>
      <c r="M249">
        <f t="shared" si="19"/>
        <v>12.295454545454545</v>
      </c>
    </row>
    <row r="250" spans="1:13">
      <c r="A250">
        <v>5248</v>
      </c>
      <c r="B250" s="1">
        <v>46124</v>
      </c>
      <c r="C250" s="3" t="s">
        <v>10</v>
      </c>
      <c r="D250" s="3" t="s">
        <v>12</v>
      </c>
      <c r="E250" s="2">
        <v>342.53</v>
      </c>
      <c r="F250">
        <v>357</v>
      </c>
      <c r="G250">
        <v>16</v>
      </c>
      <c r="H250" s="2">
        <v>1340.32</v>
      </c>
      <c r="I250" s="3" t="str">
        <f t="shared" si="15"/>
        <v>Display</v>
      </c>
      <c r="J250" s="3" t="str">
        <f t="shared" si="16"/>
        <v>Google Ads</v>
      </c>
      <c r="K250" t="str">
        <f t="shared" si="17"/>
        <v>12-04-2026</v>
      </c>
      <c r="L250">
        <f t="shared" si="18"/>
        <v>3.9130003211397542</v>
      </c>
      <c r="M250">
        <f t="shared" si="19"/>
        <v>21.408124999999998</v>
      </c>
    </row>
    <row r="251" spans="1:13">
      <c r="A251">
        <v>5249</v>
      </c>
      <c r="B251" s="1">
        <v>46144</v>
      </c>
      <c r="C251" s="3" t="s">
        <v>10</v>
      </c>
      <c r="D251" s="3" t="s">
        <v>18</v>
      </c>
      <c r="E251" s="2">
        <v>318.83999999999997</v>
      </c>
      <c r="F251">
        <v>372</v>
      </c>
      <c r="G251">
        <v>13</v>
      </c>
      <c r="H251" s="2">
        <v>718.77</v>
      </c>
      <c r="I251" s="3" t="str">
        <f t="shared" si="15"/>
        <v>Shopping</v>
      </c>
      <c r="J251" s="3" t="str">
        <f t="shared" si="16"/>
        <v>Google Ads</v>
      </c>
      <c r="K251" t="str">
        <f t="shared" si="17"/>
        <v>02-05-2026</v>
      </c>
      <c r="L251">
        <f t="shared" si="18"/>
        <v>2.2543281896876177</v>
      </c>
      <c r="M251">
        <f t="shared" si="19"/>
        <v>24.526153846153843</v>
      </c>
    </row>
    <row r="252" spans="1:13">
      <c r="A252">
        <v>5250</v>
      </c>
      <c r="B252" s="1">
        <v>46127</v>
      </c>
      <c r="C252" s="3" t="s">
        <v>25</v>
      </c>
      <c r="D252" s="3" t="s">
        <v>23</v>
      </c>
      <c r="E252" s="2">
        <v>415.01</v>
      </c>
      <c r="F252">
        <v>198</v>
      </c>
      <c r="G252">
        <v>3</v>
      </c>
      <c r="H252" s="2">
        <v>139.86000000000001</v>
      </c>
      <c r="I252" s="3" t="str">
        <f t="shared" si="15"/>
        <v>Retargeting</v>
      </c>
      <c r="J252" s="3" t="str">
        <f t="shared" si="16"/>
        <v>Meta Ads</v>
      </c>
      <c r="K252" t="str">
        <f t="shared" si="17"/>
        <v>15-04-2026</v>
      </c>
      <c r="L252">
        <f t="shared" si="18"/>
        <v>0.33700392761620207</v>
      </c>
      <c r="M252">
        <f t="shared" si="19"/>
        <v>138.33666666666667</v>
      </c>
    </row>
    <row r="253" spans="1:13">
      <c r="A253">
        <v>5251</v>
      </c>
      <c r="B253" s="1">
        <v>46123</v>
      </c>
      <c r="C253" s="3" t="s">
        <v>10</v>
      </c>
      <c r="D253" s="3" t="s">
        <v>18</v>
      </c>
      <c r="E253" s="2">
        <v>494.5</v>
      </c>
      <c r="F253">
        <v>479</v>
      </c>
      <c r="G253">
        <v>11</v>
      </c>
      <c r="H253" s="2">
        <v>967.34</v>
      </c>
      <c r="I253" s="3" t="str">
        <f t="shared" si="15"/>
        <v>Shopping</v>
      </c>
      <c r="J253" s="3" t="str">
        <f t="shared" si="16"/>
        <v>Google Ads</v>
      </c>
      <c r="K253" t="str">
        <f t="shared" si="17"/>
        <v>11-04-2026</v>
      </c>
      <c r="L253">
        <f t="shared" si="18"/>
        <v>1.9561981799797776</v>
      </c>
      <c r="M253">
        <f t="shared" si="19"/>
        <v>44.954545454545453</v>
      </c>
    </row>
    <row r="254" spans="1:13">
      <c r="A254">
        <v>5252</v>
      </c>
      <c r="B254" s="1">
        <v>46167</v>
      </c>
      <c r="C254" s="3" t="s">
        <v>8</v>
      </c>
      <c r="D254" s="3" t="s">
        <v>9</v>
      </c>
      <c r="E254" s="2">
        <v>372.59</v>
      </c>
      <c r="F254">
        <v>781</v>
      </c>
      <c r="G254">
        <v>47</v>
      </c>
      <c r="H254" s="2">
        <v>2325.56</v>
      </c>
      <c r="I254" s="3" t="str">
        <f t="shared" si="15"/>
        <v>Welcome Series</v>
      </c>
      <c r="J254" s="3" t="str">
        <f t="shared" si="16"/>
        <v>Email</v>
      </c>
      <c r="K254" t="str">
        <f t="shared" si="17"/>
        <v>25-05-2026</v>
      </c>
      <c r="L254">
        <f t="shared" si="18"/>
        <v>6.2416060549129071</v>
      </c>
      <c r="M254">
        <f t="shared" si="19"/>
        <v>7.9274468085106378</v>
      </c>
    </row>
    <row r="255" spans="1:13">
      <c r="A255">
        <v>5253</v>
      </c>
      <c r="B255" s="1">
        <v>46136</v>
      </c>
      <c r="C255" s="3" t="s">
        <v>10</v>
      </c>
      <c r="D255" s="3" t="s">
        <v>18</v>
      </c>
      <c r="E255" s="2">
        <v>349.43</v>
      </c>
      <c r="F255">
        <v>544</v>
      </c>
      <c r="G255">
        <v>28</v>
      </c>
      <c r="H255" s="2">
        <v>838.2</v>
      </c>
      <c r="I255" s="3" t="str">
        <f t="shared" si="15"/>
        <v>Shopping</v>
      </c>
      <c r="J255" s="3" t="str">
        <f t="shared" si="16"/>
        <v>Google Ads</v>
      </c>
      <c r="K255" t="str">
        <f t="shared" si="17"/>
        <v>24-04-2026</v>
      </c>
      <c r="L255">
        <f t="shared" si="18"/>
        <v>2.3987637008842975</v>
      </c>
      <c r="M255">
        <f t="shared" si="19"/>
        <v>12.479642857142858</v>
      </c>
    </row>
    <row r="256" spans="1:13">
      <c r="A256">
        <v>5254</v>
      </c>
      <c r="B256" s="1">
        <v>46197</v>
      </c>
      <c r="C256" s="3" t="s">
        <v>8</v>
      </c>
      <c r="D256" s="3" t="s">
        <v>24</v>
      </c>
      <c r="E256" s="2">
        <v>447.73</v>
      </c>
      <c r="F256">
        <v>756</v>
      </c>
      <c r="G256">
        <v>29</v>
      </c>
      <c r="H256" s="2">
        <v>2741.5</v>
      </c>
      <c r="I256" s="3" t="str">
        <f t="shared" si="15"/>
        <v>Promo Blast</v>
      </c>
      <c r="J256" s="3" t="str">
        <f t="shared" si="16"/>
        <v>Email</v>
      </c>
      <c r="K256" t="str">
        <f t="shared" si="17"/>
        <v>24-06-2026</v>
      </c>
      <c r="L256">
        <f t="shared" si="18"/>
        <v>6.1231099099903954</v>
      </c>
      <c r="M256">
        <f t="shared" si="19"/>
        <v>15.43896551724138</v>
      </c>
    </row>
    <row r="257" spans="1:13">
      <c r="A257">
        <v>5255</v>
      </c>
      <c r="B257" s="1">
        <v>46071</v>
      </c>
      <c r="C257" s="3" t="s">
        <v>10</v>
      </c>
      <c r="D257" s="3" t="s">
        <v>11</v>
      </c>
      <c r="E257" s="2">
        <v>279.94</v>
      </c>
      <c r="F257">
        <v>790</v>
      </c>
      <c r="G257">
        <v>23</v>
      </c>
      <c r="H257" s="2">
        <v>1730.52</v>
      </c>
      <c r="I257" s="3" t="str">
        <f t="shared" si="15"/>
        <v>Search - Generic</v>
      </c>
      <c r="J257" s="3" t="str">
        <f t="shared" si="16"/>
        <v>Google Ads</v>
      </c>
      <c r="K257" t="str">
        <f t="shared" si="17"/>
        <v>18-02-2026</v>
      </c>
      <c r="L257">
        <f t="shared" si="18"/>
        <v>6.1817532328356073</v>
      </c>
      <c r="M257">
        <f t="shared" si="19"/>
        <v>12.171304347826087</v>
      </c>
    </row>
    <row r="258" spans="1:13">
      <c r="A258">
        <v>5256</v>
      </c>
      <c r="B258" s="1">
        <v>46186</v>
      </c>
      <c r="C258" s="3" t="s">
        <v>10</v>
      </c>
      <c r="D258" s="3" t="s">
        <v>18</v>
      </c>
      <c r="E258" s="2">
        <v>97.7</v>
      </c>
      <c r="F258">
        <v>598</v>
      </c>
      <c r="G258">
        <v>23</v>
      </c>
      <c r="H258" s="2">
        <v>647.22</v>
      </c>
      <c r="I258" s="3" t="str">
        <f t="shared" ref="I258:I281" si="20">TRIM(D258)</f>
        <v>Shopping</v>
      </c>
      <c r="J258" s="3" t="str">
        <f t="shared" ref="J258:J282" si="21">TRIM(PROPER(C258))</f>
        <v>Google Ads</v>
      </c>
      <c r="K258" t="str">
        <f t="shared" si="17"/>
        <v>13-06-2026</v>
      </c>
      <c r="L258">
        <f t="shared" si="18"/>
        <v>6.6245649948822924</v>
      </c>
      <c r="M258">
        <f t="shared" si="19"/>
        <v>4.2478260869565219</v>
      </c>
    </row>
    <row r="259" spans="1:13">
      <c r="A259">
        <v>5257</v>
      </c>
      <c r="B259" s="1">
        <v>46101</v>
      </c>
      <c r="C259" s="3" t="s">
        <v>8</v>
      </c>
      <c r="D259" s="3" t="s">
        <v>9</v>
      </c>
      <c r="E259" s="2">
        <v>486.31</v>
      </c>
      <c r="F259">
        <v>378</v>
      </c>
      <c r="G259">
        <v>33</v>
      </c>
      <c r="H259" s="2">
        <v>1226.28</v>
      </c>
      <c r="I259" s="3" t="str">
        <f t="shared" si="20"/>
        <v>Welcome Series</v>
      </c>
      <c r="J259" s="3" t="str">
        <f t="shared" si="21"/>
        <v>Email</v>
      </c>
      <c r="K259" t="str">
        <f t="shared" ref="K259:K281" si="22">TEXT(B259,"dd-mm-yyyy")</f>
        <v>20-03-2026</v>
      </c>
      <c r="L259">
        <f t="shared" ref="L259:L281" si="23">IF(E259=0,0,H259/E259)</f>
        <v>2.5216014476362814</v>
      </c>
      <c r="M259">
        <f t="shared" ref="M259:M281" si="24">IF(G259=0,0,E259/G259)</f>
        <v>14.736666666666666</v>
      </c>
    </row>
    <row r="260" spans="1:13">
      <c r="A260">
        <v>5258</v>
      </c>
      <c r="B260" s="1">
        <v>46050</v>
      </c>
      <c r="C260" s="3" t="s">
        <v>10</v>
      </c>
      <c r="D260" s="3" t="s">
        <v>12</v>
      </c>
      <c r="E260" s="2">
        <v>246.83</v>
      </c>
      <c r="F260">
        <v>125</v>
      </c>
      <c r="G260">
        <v>3</v>
      </c>
      <c r="H260" s="2">
        <v>252.21</v>
      </c>
      <c r="I260" s="3" t="str">
        <f t="shared" si="20"/>
        <v>Display</v>
      </c>
      <c r="J260" s="3" t="str">
        <f t="shared" si="21"/>
        <v>Google Ads</v>
      </c>
      <c r="K260" t="str">
        <f t="shared" si="22"/>
        <v>28-01-2026</v>
      </c>
      <c r="L260">
        <f t="shared" si="23"/>
        <v>1.0217963780739781</v>
      </c>
      <c r="M260">
        <f t="shared" si="24"/>
        <v>82.276666666666671</v>
      </c>
    </row>
    <row r="261" spans="1:13">
      <c r="A261">
        <v>5259</v>
      </c>
      <c r="B261" s="1">
        <v>46061</v>
      </c>
      <c r="C261" s="3" t="s">
        <v>8</v>
      </c>
      <c r="D261" s="3" t="s">
        <v>24</v>
      </c>
      <c r="E261" s="2">
        <v>217.63</v>
      </c>
      <c r="F261">
        <v>88</v>
      </c>
      <c r="G261">
        <v>4</v>
      </c>
      <c r="H261" s="2">
        <v>194.32</v>
      </c>
      <c r="I261" s="3" t="str">
        <f t="shared" si="20"/>
        <v>Promo Blast</v>
      </c>
      <c r="J261" s="3" t="str">
        <f t="shared" si="21"/>
        <v>Email</v>
      </c>
      <c r="K261" t="str">
        <f t="shared" si="22"/>
        <v>08-02-2026</v>
      </c>
      <c r="L261">
        <f t="shared" si="23"/>
        <v>0.8928916050176906</v>
      </c>
      <c r="M261">
        <f t="shared" si="24"/>
        <v>54.407499999999999</v>
      </c>
    </row>
    <row r="262" spans="1:13">
      <c r="A262">
        <v>5260</v>
      </c>
      <c r="B262" s="1">
        <v>46026</v>
      </c>
      <c r="C262" s="3" t="s">
        <v>8</v>
      </c>
      <c r="D262" s="3" t="s">
        <v>9</v>
      </c>
      <c r="E262" s="2">
        <v>147.44999999999999</v>
      </c>
      <c r="F262">
        <v>259</v>
      </c>
      <c r="G262">
        <v>21</v>
      </c>
      <c r="H262" s="2">
        <v>1720.11</v>
      </c>
      <c r="I262" s="3" t="str">
        <f t="shared" si="20"/>
        <v>Welcome Series</v>
      </c>
      <c r="J262" s="3" t="str">
        <f t="shared" si="21"/>
        <v>Email</v>
      </c>
      <c r="K262" t="str">
        <f t="shared" si="22"/>
        <v>04-01-2026</v>
      </c>
      <c r="L262">
        <f t="shared" si="23"/>
        <v>11.665717192268566</v>
      </c>
      <c r="M262">
        <f t="shared" si="24"/>
        <v>7.0214285714285705</v>
      </c>
    </row>
    <row r="263" spans="1:13">
      <c r="A263">
        <v>5261</v>
      </c>
      <c r="B263" s="1">
        <v>46101</v>
      </c>
      <c r="C263" s="3" t="s">
        <v>8</v>
      </c>
      <c r="D263" s="3" t="s">
        <v>13</v>
      </c>
      <c r="E263" s="2">
        <v>352.17</v>
      </c>
      <c r="F263">
        <v>423</v>
      </c>
      <c r="G263">
        <v>22</v>
      </c>
      <c r="H263" s="2">
        <v>1894.64</v>
      </c>
      <c r="I263" s="3" t="str">
        <f t="shared" si="20"/>
        <v>Abandoned Cart</v>
      </c>
      <c r="J263" s="3" t="str">
        <f t="shared" si="21"/>
        <v>Email</v>
      </c>
      <c r="K263" t="str">
        <f t="shared" si="22"/>
        <v>20-03-2026</v>
      </c>
      <c r="L263">
        <f t="shared" si="23"/>
        <v>5.3799017519947752</v>
      </c>
      <c r="M263">
        <f t="shared" si="24"/>
        <v>16.007727272727273</v>
      </c>
    </row>
    <row r="264" spans="1:13">
      <c r="A264">
        <v>5262</v>
      </c>
      <c r="B264" s="1">
        <v>46070</v>
      </c>
      <c r="C264" s="3" t="s">
        <v>8</v>
      </c>
      <c r="D264" s="3" t="s">
        <v>24</v>
      </c>
      <c r="E264" s="2">
        <v>84.11</v>
      </c>
      <c r="F264">
        <v>474</v>
      </c>
      <c r="G264">
        <v>25</v>
      </c>
      <c r="H264" s="2">
        <v>2127.5</v>
      </c>
      <c r="I264" s="3" t="str">
        <f t="shared" si="20"/>
        <v>Promo Blast</v>
      </c>
      <c r="J264" s="3" t="str">
        <f t="shared" si="21"/>
        <v>Email</v>
      </c>
      <c r="K264" t="str">
        <f t="shared" si="22"/>
        <v>17-02-2026</v>
      </c>
      <c r="L264">
        <f t="shared" si="23"/>
        <v>25.2942575199144</v>
      </c>
      <c r="M264">
        <f t="shared" si="24"/>
        <v>3.3643999999999998</v>
      </c>
    </row>
    <row r="265" spans="1:13">
      <c r="A265">
        <v>5263</v>
      </c>
      <c r="B265" s="1">
        <v>46077</v>
      </c>
      <c r="C265" s="3" t="s">
        <v>8</v>
      </c>
      <c r="D265" s="3" t="s">
        <v>13</v>
      </c>
      <c r="E265" s="2">
        <v>251.37</v>
      </c>
      <c r="F265">
        <v>522</v>
      </c>
      <c r="G265">
        <v>19</v>
      </c>
      <c r="H265" s="2">
        <v>824.03</v>
      </c>
      <c r="I265" s="3" t="str">
        <f t="shared" si="20"/>
        <v>Abandoned Cart</v>
      </c>
      <c r="J265" s="3" t="str">
        <f t="shared" si="21"/>
        <v>Email</v>
      </c>
      <c r="K265" t="str">
        <f t="shared" si="22"/>
        <v>24-02-2026</v>
      </c>
      <c r="L265">
        <f t="shared" si="23"/>
        <v>3.278155706727135</v>
      </c>
      <c r="M265">
        <f t="shared" si="24"/>
        <v>13.23</v>
      </c>
    </row>
    <row r="266" spans="1:13">
      <c r="A266">
        <v>5264</v>
      </c>
      <c r="B266" s="1">
        <v>46188</v>
      </c>
      <c r="C266" s="3" t="s">
        <v>8</v>
      </c>
      <c r="D266" s="3" t="s">
        <v>9</v>
      </c>
      <c r="E266" s="2">
        <v>310.33</v>
      </c>
      <c r="F266">
        <v>531</v>
      </c>
      <c r="G266">
        <v>24</v>
      </c>
      <c r="H266" s="2">
        <v>932.4</v>
      </c>
      <c r="I266" s="3" t="str">
        <f t="shared" si="20"/>
        <v>Welcome Series</v>
      </c>
      <c r="J266" s="3" t="str">
        <f t="shared" si="21"/>
        <v>Email</v>
      </c>
      <c r="K266" t="str">
        <f t="shared" si="22"/>
        <v>15-06-2026</v>
      </c>
      <c r="L266">
        <f t="shared" si="23"/>
        <v>3.0045435504140756</v>
      </c>
      <c r="M266">
        <f t="shared" si="24"/>
        <v>12.930416666666666</v>
      </c>
    </row>
    <row r="267" spans="1:13">
      <c r="A267">
        <v>5265</v>
      </c>
      <c r="B267" s="1">
        <v>46115</v>
      </c>
      <c r="C267" s="3" t="s">
        <v>8</v>
      </c>
      <c r="D267" s="3" t="s">
        <v>17</v>
      </c>
      <c r="E267" s="2">
        <v>124.83</v>
      </c>
      <c r="F267">
        <v>478</v>
      </c>
      <c r="G267">
        <v>32</v>
      </c>
      <c r="H267" s="2">
        <v>1088.6400000000001</v>
      </c>
      <c r="I267" s="3" t="str">
        <f t="shared" si="20"/>
        <v>Newsletter</v>
      </c>
      <c r="J267" s="3" t="str">
        <f t="shared" si="21"/>
        <v>Email</v>
      </c>
      <c r="K267" t="str">
        <f t="shared" si="22"/>
        <v>03-04-2026</v>
      </c>
      <c r="L267">
        <f t="shared" si="23"/>
        <v>8.7209805335255961</v>
      </c>
      <c r="M267">
        <f t="shared" si="24"/>
        <v>3.9009374999999999</v>
      </c>
    </row>
    <row r="268" spans="1:13">
      <c r="A268">
        <v>5266</v>
      </c>
      <c r="B268" s="1">
        <v>46033</v>
      </c>
      <c r="C268" s="3" t="s">
        <v>14</v>
      </c>
      <c r="D268" s="3" t="s">
        <v>22</v>
      </c>
      <c r="E268" s="2">
        <v>183.25</v>
      </c>
      <c r="F268">
        <v>348</v>
      </c>
      <c r="G268">
        <v>7</v>
      </c>
      <c r="H268" s="2">
        <v>279.79000000000002</v>
      </c>
      <c r="I268" s="3" t="str">
        <f t="shared" si="20"/>
        <v>Brand Awareness</v>
      </c>
      <c r="J268" s="3" t="str">
        <f t="shared" si="21"/>
        <v>Meta Ads</v>
      </c>
      <c r="K268" t="str">
        <f t="shared" si="22"/>
        <v>11-01-2026</v>
      </c>
      <c r="L268">
        <f t="shared" si="23"/>
        <v>1.5268212824010916</v>
      </c>
      <c r="M268">
        <f t="shared" si="24"/>
        <v>26.178571428571427</v>
      </c>
    </row>
    <row r="269" spans="1:13">
      <c r="A269">
        <v>5267</v>
      </c>
      <c r="B269" s="1">
        <v>46030</v>
      </c>
      <c r="C269" s="3" t="s">
        <v>14</v>
      </c>
      <c r="D269" s="3" t="s">
        <v>15</v>
      </c>
      <c r="E269" s="2">
        <v>199.72</v>
      </c>
      <c r="F269">
        <v>655</v>
      </c>
      <c r="G269">
        <v>10</v>
      </c>
      <c r="H269" s="2">
        <v>308.2</v>
      </c>
      <c r="I269" s="3" t="str">
        <f t="shared" si="20"/>
        <v>Summer Sale</v>
      </c>
      <c r="J269" s="3" t="str">
        <f t="shared" si="21"/>
        <v>Meta Ads</v>
      </c>
      <c r="K269" t="str">
        <f t="shared" si="22"/>
        <v>08-01-2026</v>
      </c>
      <c r="L269">
        <f t="shared" si="23"/>
        <v>1.5431604245944321</v>
      </c>
      <c r="M269">
        <f t="shared" si="24"/>
        <v>19.972000000000001</v>
      </c>
    </row>
    <row r="270" spans="1:13">
      <c r="A270">
        <v>5268</v>
      </c>
      <c r="B270" s="1">
        <v>46037</v>
      </c>
      <c r="C270" s="3" t="s">
        <v>8</v>
      </c>
      <c r="D270" s="3" t="s">
        <v>9</v>
      </c>
      <c r="E270" s="2">
        <v>328.05</v>
      </c>
      <c r="F270">
        <v>599</v>
      </c>
      <c r="G270">
        <v>22</v>
      </c>
      <c r="H270" s="2">
        <v>1199.22</v>
      </c>
      <c r="I270" s="3" t="str">
        <f t="shared" si="20"/>
        <v>Welcome Series</v>
      </c>
      <c r="J270" s="3" t="str">
        <f t="shared" si="21"/>
        <v>Email</v>
      </c>
      <c r="K270" t="str">
        <f t="shared" si="22"/>
        <v>15-01-2026</v>
      </c>
      <c r="L270">
        <f t="shared" si="23"/>
        <v>3.6556012802926383</v>
      </c>
      <c r="M270">
        <f t="shared" si="24"/>
        <v>14.911363636363637</v>
      </c>
    </row>
    <row r="271" spans="1:13">
      <c r="A271">
        <v>5269</v>
      </c>
      <c r="B271" s="1">
        <v>46126</v>
      </c>
      <c r="C271" s="3" t="s">
        <v>10</v>
      </c>
      <c r="D271" s="3" t="s">
        <v>11</v>
      </c>
      <c r="E271" s="2">
        <v>450.76</v>
      </c>
      <c r="F271">
        <v>26</v>
      </c>
      <c r="G271">
        <v>0</v>
      </c>
      <c r="H271" s="2">
        <v>0</v>
      </c>
      <c r="I271" s="3" t="str">
        <f t="shared" si="20"/>
        <v>Search - Generic</v>
      </c>
      <c r="J271" s="3" t="str">
        <f t="shared" si="21"/>
        <v>Google Ads</v>
      </c>
      <c r="K271" t="str">
        <f t="shared" si="22"/>
        <v>14-04-2026</v>
      </c>
      <c r="L271">
        <f t="shared" si="23"/>
        <v>0</v>
      </c>
      <c r="M271">
        <f t="shared" si="24"/>
        <v>0</v>
      </c>
    </row>
    <row r="272" spans="1:13">
      <c r="A272">
        <v>5270</v>
      </c>
      <c r="B272" s="1">
        <v>46098</v>
      </c>
      <c r="C272" s="3" t="s">
        <v>8</v>
      </c>
      <c r="D272" s="3" t="s">
        <v>17</v>
      </c>
      <c r="E272" s="2">
        <v>118.71</v>
      </c>
      <c r="F272">
        <v>23</v>
      </c>
      <c r="G272">
        <v>1</v>
      </c>
      <c r="H272" s="2">
        <v>66.7</v>
      </c>
      <c r="I272" s="3" t="str">
        <f t="shared" si="20"/>
        <v>Newsletter</v>
      </c>
      <c r="J272" s="3" t="str">
        <f t="shared" si="21"/>
        <v>Email</v>
      </c>
      <c r="K272" t="str">
        <f t="shared" si="22"/>
        <v>17-03-2026</v>
      </c>
      <c r="L272">
        <f t="shared" si="23"/>
        <v>0.56187347316990988</v>
      </c>
      <c r="M272">
        <f t="shared" si="24"/>
        <v>118.71</v>
      </c>
    </row>
    <row r="273" spans="1:13">
      <c r="A273">
        <v>5271</v>
      </c>
      <c r="B273" s="1">
        <v>46103</v>
      </c>
      <c r="C273" s="3" t="s">
        <v>10</v>
      </c>
      <c r="D273" s="3" t="s">
        <v>20</v>
      </c>
      <c r="E273" s="2">
        <v>104.08</v>
      </c>
      <c r="F273">
        <v>373</v>
      </c>
      <c r="G273">
        <v>13</v>
      </c>
      <c r="H273" s="2">
        <v>349.83</v>
      </c>
      <c r="I273" s="3" t="str">
        <f t="shared" si="20"/>
        <v>Search - Brand</v>
      </c>
      <c r="J273" s="3" t="str">
        <f t="shared" si="21"/>
        <v>Google Ads</v>
      </c>
      <c r="K273" t="str">
        <f t="shared" si="22"/>
        <v>22-03-2026</v>
      </c>
      <c r="L273">
        <f t="shared" si="23"/>
        <v>3.361164488854727</v>
      </c>
      <c r="M273">
        <f t="shared" si="24"/>
        <v>8.0061538461538468</v>
      </c>
    </row>
    <row r="274" spans="1:13">
      <c r="A274">
        <v>5272</v>
      </c>
      <c r="B274" s="1">
        <v>46143</v>
      </c>
      <c r="C274" s="3" t="s">
        <v>14</v>
      </c>
      <c r="D274" s="3" t="s">
        <v>19</v>
      </c>
      <c r="E274" s="2">
        <v>414.52</v>
      </c>
      <c r="F274">
        <v>141</v>
      </c>
      <c r="G274">
        <v>3</v>
      </c>
      <c r="H274" s="2">
        <v>178.02</v>
      </c>
      <c r="I274" s="3" t="str">
        <f t="shared" si="20"/>
        <v>New Arrivals</v>
      </c>
      <c r="J274" s="3" t="str">
        <f t="shared" si="21"/>
        <v>Meta Ads</v>
      </c>
      <c r="K274" t="str">
        <f t="shared" si="22"/>
        <v>01-05-2026</v>
      </c>
      <c r="L274">
        <f t="shared" si="23"/>
        <v>0.4294605809128631</v>
      </c>
      <c r="M274">
        <f t="shared" si="24"/>
        <v>138.17333333333332</v>
      </c>
    </row>
    <row r="275" spans="1:13">
      <c r="A275">
        <v>5273</v>
      </c>
      <c r="B275" s="1">
        <v>46072</v>
      </c>
      <c r="C275" s="3" t="s">
        <v>8</v>
      </c>
      <c r="D275" s="3" t="s">
        <v>24</v>
      </c>
      <c r="E275" s="2">
        <v>97.26</v>
      </c>
      <c r="F275">
        <v>457</v>
      </c>
      <c r="G275">
        <v>17</v>
      </c>
      <c r="H275" s="2">
        <v>1760.41</v>
      </c>
      <c r="I275" s="3" t="str">
        <f t="shared" si="20"/>
        <v>Promo Blast</v>
      </c>
      <c r="J275" s="3" t="str">
        <f t="shared" si="21"/>
        <v>Email</v>
      </c>
      <c r="K275" t="str">
        <f t="shared" si="22"/>
        <v>19-02-2026</v>
      </c>
      <c r="L275">
        <f t="shared" si="23"/>
        <v>18.100041126876413</v>
      </c>
      <c r="M275">
        <f t="shared" si="24"/>
        <v>5.7211764705882358</v>
      </c>
    </row>
    <row r="276" spans="1:13">
      <c r="A276">
        <v>5274</v>
      </c>
      <c r="B276" s="1">
        <v>46045</v>
      </c>
      <c r="C276" s="3" t="s">
        <v>14</v>
      </c>
      <c r="D276" s="3" t="s">
        <v>23</v>
      </c>
      <c r="E276" s="2">
        <v>54.07</v>
      </c>
      <c r="F276">
        <v>341</v>
      </c>
      <c r="G276">
        <v>5</v>
      </c>
      <c r="H276" s="2">
        <v>399.51</v>
      </c>
      <c r="I276" s="3" t="str">
        <f t="shared" si="20"/>
        <v>Retargeting</v>
      </c>
      <c r="J276" s="3" t="str">
        <f t="shared" si="21"/>
        <v>Meta Ads</v>
      </c>
      <c r="K276" t="str">
        <f t="shared" si="22"/>
        <v>23-01-2026</v>
      </c>
      <c r="L276">
        <f t="shared" si="23"/>
        <v>7.3887553171814311</v>
      </c>
      <c r="M276">
        <f t="shared" si="24"/>
        <v>10.814</v>
      </c>
    </row>
    <row r="277" spans="1:13">
      <c r="A277">
        <v>5275</v>
      </c>
      <c r="B277" s="1">
        <v>46113</v>
      </c>
      <c r="C277" s="3" t="s">
        <v>14</v>
      </c>
      <c r="D277" s="3" t="s">
        <v>15</v>
      </c>
      <c r="E277" s="2">
        <v>115.95</v>
      </c>
      <c r="F277">
        <v>477</v>
      </c>
      <c r="G277">
        <v>10</v>
      </c>
      <c r="H277" s="2">
        <v>848.3</v>
      </c>
      <c r="I277" s="3" t="str">
        <f t="shared" si="20"/>
        <v>Summer Sale</v>
      </c>
      <c r="J277" s="3" t="str">
        <f t="shared" si="21"/>
        <v>Meta Ads</v>
      </c>
      <c r="K277" t="str">
        <f t="shared" si="22"/>
        <v>01-04-2026</v>
      </c>
      <c r="L277">
        <f t="shared" si="23"/>
        <v>7.3160845191893049</v>
      </c>
      <c r="M277">
        <f t="shared" si="24"/>
        <v>11.595000000000001</v>
      </c>
    </row>
    <row r="278" spans="1:13">
      <c r="A278">
        <v>5276</v>
      </c>
      <c r="B278" s="1">
        <v>46143</v>
      </c>
      <c r="C278" s="3" t="s">
        <v>10</v>
      </c>
      <c r="D278" s="3" t="s">
        <v>11</v>
      </c>
      <c r="E278" s="2">
        <v>442.7</v>
      </c>
      <c r="F278">
        <v>630</v>
      </c>
      <c r="G278">
        <v>16</v>
      </c>
      <c r="H278" s="2">
        <v>1345.44</v>
      </c>
      <c r="I278" s="3" t="str">
        <f t="shared" si="20"/>
        <v>Search - Generic</v>
      </c>
      <c r="J278" s="3" t="str">
        <f t="shared" si="21"/>
        <v>Google Ads</v>
      </c>
      <c r="K278" t="str">
        <f t="shared" si="22"/>
        <v>01-05-2026</v>
      </c>
      <c r="L278">
        <f t="shared" si="23"/>
        <v>3.0391687372938785</v>
      </c>
      <c r="M278">
        <f t="shared" si="24"/>
        <v>27.668749999999999</v>
      </c>
    </row>
    <row r="279" spans="1:13">
      <c r="A279">
        <v>5277</v>
      </c>
      <c r="B279" s="1">
        <v>46123</v>
      </c>
      <c r="C279" s="3" t="s">
        <v>8</v>
      </c>
      <c r="D279" s="3" t="s">
        <v>17</v>
      </c>
      <c r="E279" s="2">
        <v>116.06</v>
      </c>
      <c r="F279">
        <v>10</v>
      </c>
      <c r="G279">
        <v>0</v>
      </c>
      <c r="H279" s="2">
        <v>0</v>
      </c>
      <c r="I279" s="3" t="str">
        <f t="shared" si="20"/>
        <v>Newsletter</v>
      </c>
      <c r="J279" s="3" t="str">
        <f t="shared" si="21"/>
        <v>Email</v>
      </c>
      <c r="K279" t="str">
        <f t="shared" si="22"/>
        <v>11-04-2026</v>
      </c>
      <c r="L279">
        <f t="shared" si="23"/>
        <v>0</v>
      </c>
      <c r="M279">
        <f t="shared" si="24"/>
        <v>0</v>
      </c>
    </row>
    <row r="280" spans="1:13">
      <c r="A280">
        <v>5278</v>
      </c>
      <c r="B280" s="1">
        <v>46186</v>
      </c>
      <c r="C280" s="3" t="s">
        <v>21</v>
      </c>
      <c r="D280" s="3" t="s">
        <v>20</v>
      </c>
      <c r="E280" s="2">
        <v>383.42</v>
      </c>
      <c r="F280">
        <v>116</v>
      </c>
      <c r="G280">
        <v>5</v>
      </c>
      <c r="H280" s="2">
        <v>411.75</v>
      </c>
      <c r="I280" s="3" t="str">
        <f t="shared" si="20"/>
        <v>Search - Brand</v>
      </c>
      <c r="J280" s="3" t="str">
        <f t="shared" si="21"/>
        <v>Google Ads</v>
      </c>
      <c r="K280" t="str">
        <f t="shared" si="22"/>
        <v>13-06-2026</v>
      </c>
      <c r="L280">
        <f t="shared" si="23"/>
        <v>1.0738876427938031</v>
      </c>
      <c r="M280">
        <f t="shared" si="24"/>
        <v>76.683999999999997</v>
      </c>
    </row>
    <row r="281" spans="1:13">
      <c r="A281">
        <v>5279</v>
      </c>
      <c r="B281" s="1">
        <v>46153</v>
      </c>
      <c r="C281" s="3" t="s">
        <v>14</v>
      </c>
      <c r="D281" s="3" t="s">
        <v>15</v>
      </c>
      <c r="E281" s="2">
        <v>414.25</v>
      </c>
      <c r="F281">
        <v>524</v>
      </c>
      <c r="G281">
        <v>11</v>
      </c>
      <c r="H281" s="2">
        <v>713.13</v>
      </c>
      <c r="I281" s="3" t="str">
        <f t="shared" si="20"/>
        <v>Summer Sale</v>
      </c>
      <c r="J281" s="3" t="str">
        <f t="shared" si="21"/>
        <v>Meta Ads</v>
      </c>
      <c r="K281" t="str">
        <f t="shared" si="22"/>
        <v>11-05-2026</v>
      </c>
      <c r="L281">
        <f t="shared" si="23"/>
        <v>1.7214966807483403</v>
      </c>
      <c r="M281">
        <f t="shared" si="24"/>
        <v>37.659090909090907</v>
      </c>
    </row>
    <row r="282" spans="1:13">
      <c r="J282" s="3" t="str">
        <f t="shared" si="21"/>
        <v/>
      </c>
    </row>
    <row r="283" spans="1:13">
      <c r="B283"/>
      <c r="C283"/>
      <c r="D283"/>
      <c r="E283"/>
      <c r="H283"/>
      <c r="I283"/>
      <c r="J283"/>
    </row>
    <row r="284" spans="1:13">
      <c r="B284"/>
      <c r="C284"/>
      <c r="D284"/>
      <c r="E284"/>
      <c r="H284"/>
      <c r="I284"/>
      <c r="J284"/>
    </row>
    <row r="285" spans="1:13">
      <c r="B285"/>
      <c r="C285"/>
      <c r="D285"/>
      <c r="E285"/>
      <c r="H285"/>
      <c r="I285"/>
      <c r="J285"/>
    </row>
    <row r="286" spans="1:13">
      <c r="B286"/>
      <c r="C286"/>
      <c r="D286"/>
      <c r="E286"/>
      <c r="H286"/>
      <c r="I286"/>
      <c r="J286"/>
    </row>
    <row r="287" spans="1:13">
      <c r="B287"/>
      <c r="C287"/>
      <c r="D287"/>
      <c r="E287"/>
      <c r="H287"/>
      <c r="I287"/>
      <c r="J287"/>
    </row>
    <row r="288" spans="1:13">
      <c r="B288"/>
      <c r="C288"/>
      <c r="D288"/>
      <c r="E288"/>
      <c r="H288"/>
      <c r="I288"/>
      <c r="J288"/>
    </row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</sheetData>
  <sortState xmlns:xlrd2="http://schemas.microsoft.com/office/spreadsheetml/2017/richdata2" ref="A2:J299">
    <sortCondition ref="A1:A2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summary</vt:lpstr>
      <vt:lpstr>Campaign performance</vt:lpstr>
      <vt:lpstr>Revenue by Month</vt:lpstr>
      <vt:lpstr>ecommerce_marketing_messy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GK</dc:creator>
  <cp:lastModifiedBy>gopinithigpn@gmail.com</cp:lastModifiedBy>
  <dcterms:created xsi:type="dcterms:W3CDTF">2026-07-18T11:43:12Z</dcterms:created>
  <dcterms:modified xsi:type="dcterms:W3CDTF">2026-07-19T05:35:50Z</dcterms:modified>
</cp:coreProperties>
</file>